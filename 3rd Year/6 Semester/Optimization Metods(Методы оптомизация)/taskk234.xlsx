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zamil Mia\Desktop\"/>
    </mc:Choice>
  </mc:AlternateContent>
  <bookViews>
    <workbookView xWindow="0" yWindow="0" windowWidth="20490" windowHeight="7095" activeTab="3"/>
  </bookViews>
  <sheets>
    <sheet name="Period 1" sheetId="1" r:id="rId1"/>
    <sheet name="Period 2" sheetId="2" r:id="rId2"/>
    <sheet name="Period 3" sheetId="3" r:id="rId3"/>
    <sheet name="Sheet1" sheetId="4" r:id="rId4"/>
  </sheets>
  <calcPr calcId="162913"/>
</workbook>
</file>

<file path=xl/calcChain.xml><?xml version="1.0" encoding="utf-8"?>
<calcChain xmlns="http://schemas.openxmlformats.org/spreadsheetml/2006/main">
  <c r="M14" i="4" l="1"/>
  <c r="J15" i="4"/>
  <c r="J14" i="4"/>
  <c r="J13" i="4"/>
  <c r="E3" i="3" l="1"/>
  <c r="E4" i="3"/>
  <c r="F16" i="3" s="1"/>
  <c r="E5" i="3"/>
  <c r="E6" i="3"/>
  <c r="F15" i="3" s="1"/>
  <c r="E7" i="3"/>
  <c r="E8" i="3"/>
  <c r="E9" i="3"/>
  <c r="E10" i="3"/>
  <c r="E11" i="3"/>
  <c r="E12" i="3"/>
  <c r="E2" i="3"/>
  <c r="E3" i="2"/>
  <c r="E4" i="2"/>
  <c r="F15" i="2" s="1"/>
  <c r="E5" i="2"/>
  <c r="E6" i="2"/>
  <c r="E7" i="2"/>
  <c r="E8" i="2"/>
  <c r="E9" i="2"/>
  <c r="E10" i="2"/>
  <c r="E11" i="2"/>
  <c r="E12" i="2"/>
  <c r="F16" i="2" s="1"/>
  <c r="E2" i="2"/>
  <c r="E3" i="1"/>
  <c r="E4" i="1"/>
  <c r="E5" i="1"/>
  <c r="E6" i="1"/>
  <c r="F14" i="1" s="1"/>
  <c r="E7" i="1"/>
  <c r="E8" i="1"/>
  <c r="E9" i="1"/>
  <c r="E10" i="1"/>
  <c r="E11" i="1"/>
  <c r="E12" i="1"/>
  <c r="E2" i="1"/>
  <c r="F15" i="1"/>
  <c r="C12" i="3"/>
  <c r="B12" i="3"/>
  <c r="D12" i="3" s="1"/>
  <c r="C11" i="3"/>
  <c r="B11" i="3"/>
  <c r="D11" i="3" s="1"/>
  <c r="C10" i="3"/>
  <c r="B10" i="3"/>
  <c r="D10" i="3" s="1"/>
  <c r="C9" i="3"/>
  <c r="B9" i="3"/>
  <c r="D9" i="3" s="1"/>
  <c r="C8" i="3"/>
  <c r="B8" i="3"/>
  <c r="D8" i="3" s="1"/>
  <c r="C7" i="3"/>
  <c r="B7" i="3"/>
  <c r="D7" i="3" s="1"/>
  <c r="C6" i="3"/>
  <c r="B6" i="3"/>
  <c r="D6" i="3" s="1"/>
  <c r="C5" i="3"/>
  <c r="B5" i="3"/>
  <c r="D5" i="3" s="1"/>
  <c r="C4" i="3"/>
  <c r="B4" i="3"/>
  <c r="D4" i="3" s="1"/>
  <c r="C3" i="3"/>
  <c r="B3" i="3"/>
  <c r="D3" i="3" s="1"/>
  <c r="C2" i="3"/>
  <c r="B2" i="3"/>
  <c r="D2" i="3" s="1"/>
  <c r="C12" i="2"/>
  <c r="B12" i="2"/>
  <c r="D12" i="2" s="1"/>
  <c r="C11" i="2"/>
  <c r="B11" i="2"/>
  <c r="D11" i="2" s="1"/>
  <c r="C10" i="2"/>
  <c r="B10" i="2"/>
  <c r="D10" i="2" s="1"/>
  <c r="C9" i="2"/>
  <c r="B9" i="2"/>
  <c r="D9" i="2" s="1"/>
  <c r="C8" i="2"/>
  <c r="B8" i="2"/>
  <c r="D8" i="2" s="1"/>
  <c r="C7" i="2"/>
  <c r="B7" i="2"/>
  <c r="D7" i="2" s="1"/>
  <c r="C6" i="2"/>
  <c r="B6" i="2"/>
  <c r="D6" i="2" s="1"/>
  <c r="C5" i="2"/>
  <c r="B5" i="2"/>
  <c r="D5" i="2" s="1"/>
  <c r="C4" i="2"/>
  <c r="B4" i="2"/>
  <c r="D4" i="2" s="1"/>
  <c r="C3" i="2"/>
  <c r="B3" i="2"/>
  <c r="D3" i="2" s="1"/>
  <c r="C2" i="2"/>
  <c r="B2" i="2"/>
  <c r="D2" i="2" s="1"/>
  <c r="C12" i="1"/>
  <c r="B12" i="1"/>
  <c r="D12" i="1" s="1"/>
  <c r="C11" i="1"/>
  <c r="B11" i="1"/>
  <c r="D11" i="1" s="1"/>
  <c r="C10" i="1"/>
  <c r="B10" i="1"/>
  <c r="D10" i="1" s="1"/>
  <c r="C9" i="1"/>
  <c r="B9" i="1"/>
  <c r="D9" i="1" s="1"/>
  <c r="C8" i="1"/>
  <c r="B8" i="1"/>
  <c r="D8" i="1" s="1"/>
  <c r="C7" i="1"/>
  <c r="B7" i="1"/>
  <c r="D7" i="1" s="1"/>
  <c r="C6" i="1"/>
  <c r="B6" i="1"/>
  <c r="D6" i="1" s="1"/>
  <c r="C5" i="1"/>
  <c r="B5" i="1"/>
  <c r="D5" i="1" s="1"/>
  <c r="C4" i="1"/>
  <c r="B4" i="1"/>
  <c r="D4" i="1" s="1"/>
  <c r="C3" i="1"/>
  <c r="B3" i="1"/>
  <c r="D3" i="1" s="1"/>
  <c r="C2" i="1"/>
  <c r="B2" i="1"/>
  <c r="D2" i="1" s="1"/>
</calcChain>
</file>

<file path=xl/sharedStrings.xml><?xml version="1.0" encoding="utf-8"?>
<sst xmlns="http://schemas.openxmlformats.org/spreadsheetml/2006/main" count="29" uniqueCount="15">
  <si>
    <t>y</t>
  </si>
  <si>
    <t>x_next = x_prev + y - b</t>
  </si>
  <si>
    <t>C(y)</t>
  </si>
  <si>
    <t>h*x_next</t>
  </si>
  <si>
    <t>Total</t>
  </si>
  <si>
    <t>Min</t>
  </si>
  <si>
    <t>y*</t>
  </si>
  <si>
    <t>Период</t>
  </si>
  <si>
    <t>k</t>
  </si>
  <si>
    <t>β</t>
  </si>
  <si>
    <t>h</t>
  </si>
  <si>
    <t>y1*</t>
  </si>
  <si>
    <t>y2*</t>
  </si>
  <si>
    <t>y3*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</si>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</sst>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6EFCE"/>
      </patternFill>
    </fill>
    <fill>
      <patternFill patternType="solid">
        <fgColor theme="6" tint="0.59999389629810485"/>
        <bgColor rgb="FFC6EFCE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/>
    <xf numFmtId="0" fontId="1" fillId="4" borderId="1" xfId="0" applyFont="1" applyFill="1" applyBorder="1"/>
    <xf numFmtId="0" fontId="3" fillId="5" borderId="1" xfId="0" applyFont="1" applyFill="1" applyBorder="1"/>
    <xf numFmtId="0" fontId="4" fillId="8" borderId="1" xfId="0" applyFont="1" applyFill="1" applyBorder="1" applyAlignment="1">
      <alignment horizontal="right"/>
    </xf>
    <xf numFmtId="0" fontId="2" fillId="8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4" fillId="6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10" borderId="1" xfId="0" applyFont="1" applyFill="1" applyBorder="1" applyAlignment="1">
      <alignment horizontal="right"/>
    </xf>
    <xf numFmtId="0" fontId="0" fillId="6" borderId="0" xfId="0" applyFill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109537</xdr:rowOff>
    </xdr:from>
    <xdr:ext cx="2936893" cy="5492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/>
            <xdr:cNvSpPr txBox="1"/>
          </xdr:nvSpPr>
          <xdr:spPr>
            <a:xfrm>
              <a:off x="171450" y="300037"/>
              <a:ext cx="2936893" cy="549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)</m:t>
                    </m:r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6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  <m:e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&amp;</m:t>
                            </m:r>
                            <m:sSub>
                              <m:sSubPr>
                                <m:ctrlPr>
                                  <a:rPr lang="en-US" sz="16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&gt;</m:t>
                            </m:r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600"/>
            </a:p>
          </xdr:txBody>
        </xdr:sp>
      </mc:Choice>
      <mc:Fallback>
        <xdr:sp macro="" textlink="">
          <xdr:nvSpPr>
            <xdr:cNvPr id="2" name="TextBox 1"/>
            <xdr:cNvSpPr txBox="1"/>
          </xdr:nvSpPr>
          <xdr:spPr>
            <a:xfrm>
              <a:off x="171450" y="300037"/>
              <a:ext cx="2936893" cy="549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𝐶_𝑖 (𝑦_𝑖)</a:t>
              </a:r>
              <a:r>
                <a:rPr lang="en-US" sz="1600" i="0">
                  <a:latin typeface="Cambria Math" panose="02040503050406030204" pitchFamily="18" charset="0"/>
                </a:rPr>
                <a:t>={█(</a:t>
              </a:r>
              <a:r>
                <a:rPr lang="en-US" sz="1600" b="0" i="0">
                  <a:latin typeface="Cambria Math" panose="02040503050406030204" pitchFamily="18" charset="0"/>
                </a:rPr>
                <a:t>0,  𝑦_𝑖=</a:t>
              </a:r>
              <a:r>
                <a:rPr lang="en-US" sz="1600" i="0">
                  <a:latin typeface="Cambria Math" panose="02040503050406030204" pitchFamily="18" charset="0"/>
                </a:rPr>
                <a:t>0@&amp;</a:t>
              </a:r>
              <a:r>
                <a:rPr lang="en-US" sz="1600" b="0" i="0">
                  <a:latin typeface="Cambria Math" panose="02040503050406030204" pitchFamily="18" charset="0"/>
                </a:rPr>
                <a:t>𝑘_𝑖+𝐶_𝑖 (𝑦_𝑖 ),</a:t>
              </a:r>
              <a:r>
                <a:rPr lang="en-US" sz="160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latin typeface="Cambria Math" panose="02040503050406030204" pitchFamily="18" charset="0"/>
                </a:rPr>
                <a:t> 𝑦_𝑖&gt;</a:t>
              </a:r>
              <a:r>
                <a:rPr lang="en-US" sz="1600" i="0">
                  <a:latin typeface="Cambria Math" panose="02040503050406030204" pitchFamily="18" charset="0"/>
                </a:rPr>
                <a:t>0)┤</a:t>
              </a:r>
              <a:endParaRPr lang="ru-RU" sz="1600"/>
            </a:p>
          </xdr:txBody>
        </xdr:sp>
      </mc:Fallback>
    </mc:AlternateContent>
    <xdr:clientData/>
  </xdr:oneCellAnchor>
  <xdr:oneCellAnchor>
    <xdr:from>
      <xdr:col>7</xdr:col>
      <xdr:colOff>161925</xdr:colOff>
      <xdr:row>1</xdr:row>
      <xdr:rowOff>66675</xdr:rowOff>
    </xdr:from>
    <xdr:ext cx="3393493" cy="5492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/>
            <xdr:cNvSpPr txBox="1"/>
          </xdr:nvSpPr>
          <xdr:spPr>
            <a:xfrm>
              <a:off x="5657850" y="257175"/>
              <a:ext cx="3393493" cy="549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)</m:t>
                    </m:r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sSub>
                              <m:sSubPr>
                                <m:ctrlPr>
                                  <a:rPr lang="en-US" sz="16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≤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e>
                          <m:e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&amp;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30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20</m:t>
                            </m:r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e>
                            </m:d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≥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600"/>
            </a:p>
          </xdr:txBody>
        </xdr:sp>
      </mc:Choice>
      <mc:Fallback>
        <xdr:sp macro="" textlink="">
          <xdr:nvSpPr>
            <xdr:cNvPr id="3" name="TextBox 2"/>
            <xdr:cNvSpPr txBox="1"/>
          </xdr:nvSpPr>
          <xdr:spPr>
            <a:xfrm>
              <a:off x="5657850" y="257175"/>
              <a:ext cx="3393493" cy="549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𝐶_𝑖 (𝑦_𝑖)</a:t>
              </a:r>
              <a:r>
                <a:rPr lang="en-US" sz="1600" i="0">
                  <a:latin typeface="Cambria Math" panose="02040503050406030204" pitchFamily="18" charset="0"/>
                </a:rPr>
                <a:t>={█(</a:t>
              </a:r>
              <a:r>
                <a:rPr lang="en-US" sz="1600" b="0" i="0">
                  <a:latin typeface="Cambria Math" panose="02040503050406030204" pitchFamily="18" charset="0"/>
                </a:rPr>
                <a:t>10𝑦_𝑖, </a:t>
              </a:r>
              <a:r>
                <a:rPr lang="en-US" sz="1600" i="0">
                  <a:latin typeface="Cambria Math" panose="02040503050406030204" pitchFamily="18" charset="0"/>
                </a:rPr>
                <a:t> 〖</a:t>
              </a:r>
              <a:r>
                <a:rPr lang="en-US" sz="1600" b="0" i="0">
                  <a:latin typeface="Cambria Math" panose="02040503050406030204" pitchFamily="18" charset="0"/>
                </a:rPr>
                <a:t>0≤𝑦〗_𝑖≤3@</a:t>
              </a:r>
              <a:r>
                <a:rPr lang="en-US" sz="1600" i="0">
                  <a:latin typeface="Cambria Math" panose="02040503050406030204" pitchFamily="18" charset="0"/>
                </a:rPr>
                <a:t>&amp;</a:t>
              </a:r>
              <a:r>
                <a:rPr lang="en-US" sz="1600" b="0" i="0">
                  <a:latin typeface="Cambria Math" panose="02040503050406030204" pitchFamily="18" charset="0"/>
                </a:rPr>
                <a:t>30+20(𝑦_𝑖−3),</a:t>
              </a:r>
              <a:r>
                <a:rPr lang="en-US" sz="160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latin typeface="Cambria Math" panose="02040503050406030204" pitchFamily="18" charset="0"/>
                </a:rPr>
                <a:t> 𝑦_𝑖≥4)┤</a:t>
              </a:r>
              <a:endParaRPr lang="ru-RU" sz="1600"/>
            </a:p>
          </xdr:txBody>
        </xdr:sp>
      </mc:Fallback>
    </mc:AlternateContent>
    <xdr:clientData/>
  </xdr:oneCellAnchor>
  <xdr:oneCellAnchor>
    <xdr:from>
      <xdr:col>15</xdr:col>
      <xdr:colOff>104775</xdr:colOff>
      <xdr:row>0</xdr:row>
      <xdr:rowOff>61912</xdr:rowOff>
    </xdr:from>
    <xdr:ext cx="4169090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/>
            <xdr:cNvSpPr txBox="1"/>
          </xdr:nvSpPr>
          <xdr:spPr>
            <a:xfrm>
              <a:off x="10515600" y="61912"/>
              <a:ext cx="416909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600" b="0" i="0">
                            <a:latin typeface="Cambria Math" panose="02040503050406030204" pitchFamily="18" charset="0"/>
                          </a:rPr>
                          <m:t>min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en-US" sz="16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0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el-G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600" b="0" i="1">
                            <a:latin typeface="Cambria Math" panose="02040503050406030204" pitchFamily="18" charset="0"/>
                          </a:rPr>
                          <m:t>β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600" b="0"/>
            </a:p>
          </xdr:txBody>
        </xdr:sp>
      </mc:Choice>
      <mc:Fallback>
        <xdr:sp macro="" textlink="">
          <xdr:nvSpPr>
            <xdr:cNvPr id="4" name="TextBox 3"/>
            <xdr:cNvSpPr txBox="1"/>
          </xdr:nvSpPr>
          <xdr:spPr>
            <a:xfrm>
              <a:off x="10515600" y="61912"/>
              <a:ext cx="416909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𝑓</a:t>
              </a:r>
              <a:r>
                <a:rPr lang="ru-RU" sz="1600" b="0" i="0">
                  <a:latin typeface="Cambria Math" panose="02040503050406030204" pitchFamily="18" charset="0"/>
                </a:rPr>
                <a:t>_</a:t>
              </a:r>
              <a:r>
                <a:rPr lang="en-US" sz="1600" b="0" i="0">
                  <a:latin typeface="Cambria Math" panose="02040503050406030204" pitchFamily="18" charset="0"/>
                </a:rPr>
                <a:t>1 (𝑥_2 )=min⁡{𝑐_1 (𝑦_1 )+ℎ_1 𝑥_2 }, 0≤𝑦_1≤</a:t>
              </a:r>
              <a:r>
                <a:rPr lang="el-GR" sz="1600" b="0" i="0">
                  <a:latin typeface="Cambria Math" panose="02040503050406030204" pitchFamily="18" charset="0"/>
                </a:rPr>
                <a:t>β_</a:t>
              </a:r>
              <a:r>
                <a:rPr lang="en-US" sz="1600" b="0" i="0">
                  <a:latin typeface="Cambria Math" panose="02040503050406030204" pitchFamily="18" charset="0"/>
                </a:rPr>
                <a:t>1+𝑥_2</a:t>
              </a:r>
              <a:endParaRPr lang="en-US" sz="1600" b="0"/>
            </a:p>
          </xdr:txBody>
        </xdr:sp>
      </mc:Fallback>
    </mc:AlternateContent>
    <xdr:clientData/>
  </xdr:oneCellAnchor>
  <xdr:oneCellAnchor>
    <xdr:from>
      <xdr:col>15</xdr:col>
      <xdr:colOff>114300</xdr:colOff>
      <xdr:row>2</xdr:row>
      <xdr:rowOff>90487</xdr:rowOff>
    </xdr:from>
    <xdr:ext cx="7219477" cy="25737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/>
            <xdr:cNvSpPr txBox="1"/>
          </xdr:nvSpPr>
          <xdr:spPr>
            <a:xfrm>
              <a:off x="10525125" y="471487"/>
              <a:ext cx="7219477" cy="2573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600" b="0" i="0">
                            <a:latin typeface="Cambria Math" panose="02040503050406030204" pitchFamily="18" charset="0"/>
                          </a:rPr>
                          <m:t>min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l-GR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l-GR" sz="1600" b="0" i="1">
                                    <a:latin typeface="Cambria Math" panose="02040503050406030204" pitchFamily="18" charset="0"/>
                                  </a:rPr>
                                  <m:t>β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d>
                      </m:e>
                    </m:func>
                    <m:r>
                      <a:rPr lang="en-US" sz="16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0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el-G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600" b="0" i="1">
                            <a:latin typeface="Cambria Math" panose="02040503050406030204" pitchFamily="18" charset="0"/>
                          </a:rPr>
                          <m:t>β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,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𝑖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1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𝑛</m:t>
                    </m:r>
                  </m:oMath>
                </m:oMathPara>
              </a14:m>
              <a:endParaRPr lang="en-US" sz="1600" b="0"/>
            </a:p>
          </xdr:txBody>
        </xdr:sp>
      </mc:Choice>
      <mc:Fallback>
        <xdr:sp macro="" textlink="">
          <xdr:nvSpPr>
            <xdr:cNvPr id="5" name="TextBox 4"/>
            <xdr:cNvSpPr txBox="1"/>
          </xdr:nvSpPr>
          <xdr:spPr>
            <a:xfrm>
              <a:off x="10525125" y="471487"/>
              <a:ext cx="7219477" cy="2573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𝑓</a:t>
              </a:r>
              <a:r>
                <a:rPr lang="ru-RU" sz="1600" b="0" i="0">
                  <a:latin typeface="Cambria Math" panose="02040503050406030204" pitchFamily="18" charset="0"/>
                </a:rPr>
                <a:t>_</a:t>
              </a:r>
              <a:r>
                <a:rPr lang="en-US" sz="1600" b="0" i="0">
                  <a:latin typeface="Cambria Math" panose="02040503050406030204" pitchFamily="18" charset="0"/>
                </a:rPr>
                <a:t>𝑖 (𝑥_(𝑖+1) )=min⁡{𝑐_𝑖 (𝑦_𝑖 )+ℎ_𝑖 𝑥_(𝑖+1)+𝑓_(𝑖−1) (𝑥_(𝑖+1)+</a:t>
              </a:r>
              <a:r>
                <a:rPr lang="el-GR" sz="1600" b="0" i="0">
                  <a:latin typeface="Cambria Math" panose="02040503050406030204" pitchFamily="18" charset="0"/>
                </a:rPr>
                <a:t>β_</a:t>
              </a:r>
              <a:r>
                <a:rPr lang="en-US" sz="1600" b="0" i="0">
                  <a:latin typeface="Cambria Math" panose="02040503050406030204" pitchFamily="18" charset="0"/>
                </a:rPr>
                <a:t>𝑖−𝑦_𝑖)}, 0≤𝑦_𝑖≤</a:t>
              </a:r>
              <a:r>
                <a:rPr lang="el-GR" sz="1600" b="0" i="0">
                  <a:latin typeface="Cambria Math" panose="02040503050406030204" pitchFamily="18" charset="0"/>
                </a:rPr>
                <a:t>β_</a:t>
              </a:r>
              <a:r>
                <a:rPr lang="en-US" sz="1600" b="0" i="0">
                  <a:latin typeface="Cambria Math" panose="02040503050406030204" pitchFamily="18" charset="0"/>
                </a:rPr>
                <a:t>𝑖+𝑥_(𝑖+1,)  𝑖=1,𝑛</a:t>
              </a:r>
              <a:endParaRPr lang="en-US" sz="16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E19" sqref="E19"/>
    </sheetView>
  </sheetViews>
  <sheetFormatPr defaultRowHeight="15" x14ac:dyDescent="0.25"/>
  <cols>
    <col min="1" max="1" width="12" customWidth="1"/>
    <col min="2" max="2" width="24.7109375" customWidth="1"/>
    <col min="3" max="3" width="18.5703125" customWidth="1"/>
    <col min="4" max="4" width="18.42578125" customWidth="1"/>
    <col min="5" max="5" width="19.42578125" customWidth="1"/>
    <col min="6" max="6" width="10.42578125" customWidth="1"/>
  </cols>
  <sheetData>
    <row r="1" spans="1:6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 ht="15.75" x14ac:dyDescent="0.25">
      <c r="A2" s="6">
        <v>0</v>
      </c>
      <c r="B2" s="6">
        <f t="shared" ref="B2:B12" si="0">1+A2-3</f>
        <v>-2</v>
      </c>
      <c r="C2" s="6">
        <f t="shared" ref="C2:C12" si="1">IF(A2=0,0,3+IF(A2&lt;=3,10*A2,30+20*(A2-3)))</f>
        <v>0</v>
      </c>
      <c r="D2" s="6">
        <f t="shared" ref="D2:D12" si="2">1*B2</f>
        <v>-2</v>
      </c>
      <c r="E2" s="6">
        <f>IF(B2&lt;0, 999999, C2 + D2)</f>
        <v>999999</v>
      </c>
    </row>
    <row r="3" spans="1:6" ht="15.75" x14ac:dyDescent="0.25">
      <c r="A3" s="6">
        <v>1</v>
      </c>
      <c r="B3" s="6">
        <f t="shared" si="0"/>
        <v>-1</v>
      </c>
      <c r="C3" s="6">
        <f t="shared" si="1"/>
        <v>13</v>
      </c>
      <c r="D3" s="6">
        <f t="shared" si="2"/>
        <v>-1</v>
      </c>
      <c r="E3" s="6">
        <f t="shared" ref="E3:E12" si="3">IF(B3&lt;0, 999999, C3 + D3)</f>
        <v>999999</v>
      </c>
    </row>
    <row r="4" spans="1:6" ht="15.75" x14ac:dyDescent="0.25">
      <c r="A4" s="7">
        <v>2</v>
      </c>
      <c r="B4" s="7">
        <f t="shared" si="0"/>
        <v>0</v>
      </c>
      <c r="C4" s="7">
        <f t="shared" si="1"/>
        <v>23</v>
      </c>
      <c r="D4" s="7">
        <f t="shared" si="2"/>
        <v>0</v>
      </c>
      <c r="E4" s="6">
        <f t="shared" si="3"/>
        <v>23</v>
      </c>
    </row>
    <row r="5" spans="1:6" ht="15.75" x14ac:dyDescent="0.25">
      <c r="A5" s="6">
        <v>3</v>
      </c>
      <c r="B5" s="6">
        <f t="shared" si="0"/>
        <v>1</v>
      </c>
      <c r="C5" s="6">
        <f t="shared" si="1"/>
        <v>33</v>
      </c>
      <c r="D5" s="6">
        <f t="shared" si="2"/>
        <v>1</v>
      </c>
      <c r="E5" s="6">
        <f t="shared" si="3"/>
        <v>34</v>
      </c>
    </row>
    <row r="6" spans="1:6" ht="15.75" x14ac:dyDescent="0.25">
      <c r="A6" s="6">
        <v>4</v>
      </c>
      <c r="B6" s="6">
        <f t="shared" si="0"/>
        <v>2</v>
      </c>
      <c r="C6" s="6">
        <f t="shared" si="1"/>
        <v>53</v>
      </c>
      <c r="D6" s="6">
        <f t="shared" si="2"/>
        <v>2</v>
      </c>
      <c r="E6" s="6">
        <f t="shared" si="3"/>
        <v>55</v>
      </c>
    </row>
    <row r="7" spans="1:6" ht="15.75" x14ac:dyDescent="0.25">
      <c r="A7" s="6">
        <v>5</v>
      </c>
      <c r="B7" s="6">
        <f t="shared" si="0"/>
        <v>3</v>
      </c>
      <c r="C7" s="6">
        <f t="shared" si="1"/>
        <v>73</v>
      </c>
      <c r="D7" s="6">
        <f t="shared" si="2"/>
        <v>3</v>
      </c>
      <c r="E7" s="6">
        <f t="shared" si="3"/>
        <v>76</v>
      </c>
    </row>
    <row r="8" spans="1:6" ht="15.75" x14ac:dyDescent="0.25">
      <c r="A8" s="6">
        <v>6</v>
      </c>
      <c r="B8" s="6">
        <f t="shared" si="0"/>
        <v>4</v>
      </c>
      <c r="C8" s="6">
        <f t="shared" si="1"/>
        <v>93</v>
      </c>
      <c r="D8" s="6">
        <f t="shared" si="2"/>
        <v>4</v>
      </c>
      <c r="E8" s="6">
        <f t="shared" si="3"/>
        <v>97</v>
      </c>
    </row>
    <row r="9" spans="1:6" ht="15.75" x14ac:dyDescent="0.25">
      <c r="A9" s="6">
        <v>7</v>
      </c>
      <c r="B9" s="6">
        <f t="shared" si="0"/>
        <v>5</v>
      </c>
      <c r="C9" s="6">
        <f t="shared" si="1"/>
        <v>113</v>
      </c>
      <c r="D9" s="6">
        <f t="shared" si="2"/>
        <v>5</v>
      </c>
      <c r="E9" s="6">
        <f t="shared" si="3"/>
        <v>118</v>
      </c>
    </row>
    <row r="10" spans="1:6" ht="15.75" x14ac:dyDescent="0.25">
      <c r="A10" s="6">
        <v>8</v>
      </c>
      <c r="B10" s="6">
        <f t="shared" si="0"/>
        <v>6</v>
      </c>
      <c r="C10" s="6">
        <f t="shared" si="1"/>
        <v>133</v>
      </c>
      <c r="D10" s="6">
        <f t="shared" si="2"/>
        <v>6</v>
      </c>
      <c r="E10" s="6">
        <f t="shared" si="3"/>
        <v>139</v>
      </c>
    </row>
    <row r="11" spans="1:6" ht="15.75" x14ac:dyDescent="0.25">
      <c r="A11" s="6">
        <v>9</v>
      </c>
      <c r="B11" s="6">
        <f t="shared" si="0"/>
        <v>7</v>
      </c>
      <c r="C11" s="6">
        <f t="shared" si="1"/>
        <v>153</v>
      </c>
      <c r="D11" s="6">
        <f t="shared" si="2"/>
        <v>7</v>
      </c>
      <c r="E11" s="6">
        <f t="shared" si="3"/>
        <v>160</v>
      </c>
    </row>
    <row r="12" spans="1:6" ht="15.75" x14ac:dyDescent="0.25">
      <c r="A12" s="6">
        <v>10</v>
      </c>
      <c r="B12" s="6">
        <f t="shared" si="0"/>
        <v>8</v>
      </c>
      <c r="C12" s="6">
        <f t="shared" si="1"/>
        <v>173</v>
      </c>
      <c r="D12" s="6">
        <f t="shared" si="2"/>
        <v>8</v>
      </c>
      <c r="E12" s="6">
        <f t="shared" si="3"/>
        <v>181</v>
      </c>
    </row>
    <row r="14" spans="1:6" ht="18.75" x14ac:dyDescent="0.3">
      <c r="E14" s="3" t="s">
        <v>5</v>
      </c>
      <c r="F14" s="3">
        <f>MIN(E2:E12)</f>
        <v>23</v>
      </c>
    </row>
    <row r="15" spans="1:6" ht="18.75" x14ac:dyDescent="0.3">
      <c r="E15" s="3" t="s">
        <v>6</v>
      </c>
      <c r="F15" s="3">
        <f>INDEX(A2:A12, MATCH(MIN(E2:E12), E2:E12, 0))</f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C18" sqref="C18"/>
    </sheetView>
  </sheetViews>
  <sheetFormatPr defaultRowHeight="15" x14ac:dyDescent="0.25"/>
  <cols>
    <col min="1" max="1" width="11" customWidth="1"/>
    <col min="2" max="2" width="24.140625" customWidth="1"/>
    <col min="3" max="3" width="20.140625" customWidth="1"/>
    <col min="4" max="4" width="19.85546875" customWidth="1"/>
    <col min="5" max="5" width="13.28515625" customWidth="1"/>
  </cols>
  <sheetData>
    <row r="1" spans="1:6" ht="15.7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6" ht="15.75" x14ac:dyDescent="0.25">
      <c r="A2" s="9">
        <v>0</v>
      </c>
      <c r="B2" s="9">
        <f t="shared" ref="B2:B12" si="0">0+A2-7</f>
        <v>-7</v>
      </c>
      <c r="C2" s="9">
        <f t="shared" ref="C2:C12" si="1">IF(A2=0,0,2+IF(A2&lt;=3,10*A2,30+20*(A2-3)))</f>
        <v>0</v>
      </c>
      <c r="D2" s="9">
        <f t="shared" ref="D2:D12" si="2">3*B2</f>
        <v>-21</v>
      </c>
      <c r="E2" s="9">
        <f>IF(B2&lt;0, 999999, C2 + D2)</f>
        <v>999999</v>
      </c>
    </row>
    <row r="3" spans="1:6" ht="15.75" x14ac:dyDescent="0.25">
      <c r="A3" s="9">
        <v>1</v>
      </c>
      <c r="B3" s="9">
        <f t="shared" si="0"/>
        <v>-6</v>
      </c>
      <c r="C3" s="9">
        <f t="shared" si="1"/>
        <v>12</v>
      </c>
      <c r="D3" s="9">
        <f t="shared" si="2"/>
        <v>-18</v>
      </c>
      <c r="E3" s="9">
        <f t="shared" ref="E3:E12" si="3">IF(B3&lt;0, 999999, C3 + D3)</f>
        <v>999999</v>
      </c>
    </row>
    <row r="4" spans="1:6" ht="15.75" x14ac:dyDescent="0.25">
      <c r="A4" s="9">
        <v>2</v>
      </c>
      <c r="B4" s="9">
        <f t="shared" si="0"/>
        <v>-5</v>
      </c>
      <c r="C4" s="9">
        <f t="shared" si="1"/>
        <v>22</v>
      </c>
      <c r="D4" s="9">
        <f t="shared" si="2"/>
        <v>-15</v>
      </c>
      <c r="E4" s="9">
        <f t="shared" si="3"/>
        <v>999999</v>
      </c>
    </row>
    <row r="5" spans="1:6" ht="15.75" x14ac:dyDescent="0.25">
      <c r="A5" s="9">
        <v>3</v>
      </c>
      <c r="B5" s="9">
        <f t="shared" si="0"/>
        <v>-4</v>
      </c>
      <c r="C5" s="9">
        <f t="shared" si="1"/>
        <v>32</v>
      </c>
      <c r="D5" s="9">
        <f t="shared" si="2"/>
        <v>-12</v>
      </c>
      <c r="E5" s="9">
        <f t="shared" si="3"/>
        <v>999999</v>
      </c>
    </row>
    <row r="6" spans="1:6" ht="15.75" x14ac:dyDescent="0.25">
      <c r="A6" s="9">
        <v>4</v>
      </c>
      <c r="B6" s="9">
        <f t="shared" si="0"/>
        <v>-3</v>
      </c>
      <c r="C6" s="9">
        <f t="shared" si="1"/>
        <v>52</v>
      </c>
      <c r="D6" s="9">
        <f t="shared" si="2"/>
        <v>-9</v>
      </c>
      <c r="E6" s="9">
        <f t="shared" si="3"/>
        <v>999999</v>
      </c>
    </row>
    <row r="7" spans="1:6" ht="15.75" x14ac:dyDescent="0.25">
      <c r="A7" s="9">
        <v>5</v>
      </c>
      <c r="B7" s="9">
        <f t="shared" si="0"/>
        <v>-2</v>
      </c>
      <c r="C7" s="9">
        <f t="shared" si="1"/>
        <v>72</v>
      </c>
      <c r="D7" s="9">
        <f t="shared" si="2"/>
        <v>-6</v>
      </c>
      <c r="E7" s="9">
        <f t="shared" si="3"/>
        <v>999999</v>
      </c>
    </row>
    <row r="8" spans="1:6" ht="15.75" x14ac:dyDescent="0.25">
      <c r="A8" s="9">
        <v>6</v>
      </c>
      <c r="B8" s="9">
        <f t="shared" si="0"/>
        <v>-1</v>
      </c>
      <c r="C8" s="9">
        <f t="shared" si="1"/>
        <v>92</v>
      </c>
      <c r="D8" s="9">
        <f t="shared" si="2"/>
        <v>-3</v>
      </c>
      <c r="E8" s="9">
        <f t="shared" si="3"/>
        <v>999999</v>
      </c>
    </row>
    <row r="9" spans="1:6" ht="15.75" x14ac:dyDescent="0.25">
      <c r="A9" s="10">
        <v>7</v>
      </c>
      <c r="B9" s="10">
        <f t="shared" si="0"/>
        <v>0</v>
      </c>
      <c r="C9" s="10">
        <f t="shared" si="1"/>
        <v>112</v>
      </c>
      <c r="D9" s="10">
        <f t="shared" si="2"/>
        <v>0</v>
      </c>
      <c r="E9" s="9">
        <f t="shared" si="3"/>
        <v>112</v>
      </c>
    </row>
    <row r="10" spans="1:6" ht="15.75" x14ac:dyDescent="0.25">
      <c r="A10" s="9">
        <v>8</v>
      </c>
      <c r="B10" s="9">
        <f t="shared" si="0"/>
        <v>1</v>
      </c>
      <c r="C10" s="9">
        <f t="shared" si="1"/>
        <v>132</v>
      </c>
      <c r="D10" s="9">
        <f t="shared" si="2"/>
        <v>3</v>
      </c>
      <c r="E10" s="9">
        <f t="shared" si="3"/>
        <v>135</v>
      </c>
    </row>
    <row r="11" spans="1:6" ht="15.75" x14ac:dyDescent="0.25">
      <c r="A11" s="9">
        <v>9</v>
      </c>
      <c r="B11" s="9">
        <f t="shared" si="0"/>
        <v>2</v>
      </c>
      <c r="C11" s="9">
        <f t="shared" si="1"/>
        <v>152</v>
      </c>
      <c r="D11" s="9">
        <f t="shared" si="2"/>
        <v>6</v>
      </c>
      <c r="E11" s="9">
        <f t="shared" si="3"/>
        <v>158</v>
      </c>
    </row>
    <row r="12" spans="1:6" ht="15.75" x14ac:dyDescent="0.25">
      <c r="A12" s="9">
        <v>10</v>
      </c>
      <c r="B12" s="9">
        <f t="shared" si="0"/>
        <v>3</v>
      </c>
      <c r="C12" s="9">
        <f t="shared" si="1"/>
        <v>172</v>
      </c>
      <c r="D12" s="9">
        <f t="shared" si="2"/>
        <v>9</v>
      </c>
      <c r="E12" s="9">
        <f t="shared" si="3"/>
        <v>181</v>
      </c>
    </row>
    <row r="15" spans="1:6" ht="18.75" x14ac:dyDescent="0.3">
      <c r="E15" s="3" t="s">
        <v>5</v>
      </c>
      <c r="F15" s="3">
        <f>MIN(E2:E12)</f>
        <v>112</v>
      </c>
    </row>
    <row r="16" spans="1:6" ht="18.75" x14ac:dyDescent="0.3">
      <c r="E16" s="3" t="s">
        <v>6</v>
      </c>
      <c r="F16" s="3">
        <f>INDEX(A2:A12, MATCH(MIN(E2:E12), E2:E12, 0))</f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zoomScaleNormal="100" workbookViewId="0">
      <selection activeCell="E15" sqref="E15"/>
    </sheetView>
  </sheetViews>
  <sheetFormatPr defaultRowHeight="15" x14ac:dyDescent="0.25"/>
  <cols>
    <col min="1" max="1" width="13.85546875" customWidth="1"/>
    <col min="2" max="2" width="28.140625" customWidth="1"/>
    <col min="3" max="3" width="15.85546875" customWidth="1"/>
    <col min="4" max="4" width="18" customWidth="1"/>
    <col min="5" max="5" width="18.42578125" customWidth="1"/>
  </cols>
  <sheetData>
    <row r="1" spans="1:6" ht="15.7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6" ht="15.75" x14ac:dyDescent="0.25">
      <c r="A2" s="12">
        <v>0</v>
      </c>
      <c r="B2" s="12">
        <f t="shared" ref="B2:B12" si="0">0+A2-6</f>
        <v>-6</v>
      </c>
      <c r="C2" s="12">
        <f t="shared" ref="C2:C12" si="1">IF(A2=0,0,4+IF(A2&lt;=3,10*A2,30+20*(A2-3)))</f>
        <v>0</v>
      </c>
      <c r="D2" s="12">
        <f t="shared" ref="D2:D12" si="2">2*B2</f>
        <v>-12</v>
      </c>
      <c r="E2" s="12">
        <f>IF(B2&lt;0, 999999, C2 + D2)</f>
        <v>999999</v>
      </c>
    </row>
    <row r="3" spans="1:6" ht="15.75" x14ac:dyDescent="0.25">
      <c r="A3" s="12">
        <v>1</v>
      </c>
      <c r="B3" s="12">
        <f t="shared" si="0"/>
        <v>-5</v>
      </c>
      <c r="C3" s="12">
        <f t="shared" si="1"/>
        <v>14</v>
      </c>
      <c r="D3" s="12">
        <f t="shared" si="2"/>
        <v>-10</v>
      </c>
      <c r="E3" s="12">
        <f t="shared" ref="E3:E12" si="3">IF(B3&lt;0, 999999, C3 + D3)</f>
        <v>999999</v>
      </c>
    </row>
    <row r="4" spans="1:6" ht="15.75" x14ac:dyDescent="0.25">
      <c r="A4" s="12">
        <v>2</v>
      </c>
      <c r="B4" s="12">
        <f t="shared" si="0"/>
        <v>-4</v>
      </c>
      <c r="C4" s="12">
        <f t="shared" si="1"/>
        <v>24</v>
      </c>
      <c r="D4" s="12">
        <f t="shared" si="2"/>
        <v>-8</v>
      </c>
      <c r="E4" s="12">
        <f t="shared" si="3"/>
        <v>999999</v>
      </c>
    </row>
    <row r="5" spans="1:6" ht="15.75" x14ac:dyDescent="0.25">
      <c r="A5" s="12">
        <v>3</v>
      </c>
      <c r="B5" s="12">
        <f t="shared" si="0"/>
        <v>-3</v>
      </c>
      <c r="C5" s="12">
        <f t="shared" si="1"/>
        <v>34</v>
      </c>
      <c r="D5" s="12">
        <f t="shared" si="2"/>
        <v>-6</v>
      </c>
      <c r="E5" s="12">
        <f t="shared" si="3"/>
        <v>999999</v>
      </c>
    </row>
    <row r="6" spans="1:6" ht="15.75" x14ac:dyDescent="0.25">
      <c r="A6" s="12">
        <v>4</v>
      </c>
      <c r="B6" s="12">
        <f t="shared" si="0"/>
        <v>-2</v>
      </c>
      <c r="C6" s="12">
        <f t="shared" si="1"/>
        <v>54</v>
      </c>
      <c r="D6" s="12">
        <f t="shared" si="2"/>
        <v>-4</v>
      </c>
      <c r="E6" s="12">
        <f t="shared" si="3"/>
        <v>999999</v>
      </c>
    </row>
    <row r="7" spans="1:6" ht="15.75" x14ac:dyDescent="0.25">
      <c r="A7" s="12">
        <v>5</v>
      </c>
      <c r="B7" s="12">
        <f t="shared" si="0"/>
        <v>-1</v>
      </c>
      <c r="C7" s="12">
        <f t="shared" si="1"/>
        <v>74</v>
      </c>
      <c r="D7" s="12">
        <f t="shared" si="2"/>
        <v>-2</v>
      </c>
      <c r="E7" s="12">
        <f t="shared" si="3"/>
        <v>999999</v>
      </c>
    </row>
    <row r="8" spans="1:6" ht="15.75" x14ac:dyDescent="0.25">
      <c r="A8" s="13">
        <v>6</v>
      </c>
      <c r="B8" s="13">
        <f t="shared" si="0"/>
        <v>0</v>
      </c>
      <c r="C8" s="13">
        <f t="shared" si="1"/>
        <v>94</v>
      </c>
      <c r="D8" s="13">
        <f t="shared" si="2"/>
        <v>0</v>
      </c>
      <c r="E8" s="12">
        <f t="shared" si="3"/>
        <v>94</v>
      </c>
    </row>
    <row r="9" spans="1:6" ht="15.75" x14ac:dyDescent="0.25">
      <c r="A9" s="12">
        <v>7</v>
      </c>
      <c r="B9" s="12">
        <f t="shared" si="0"/>
        <v>1</v>
      </c>
      <c r="C9" s="12">
        <f t="shared" si="1"/>
        <v>114</v>
      </c>
      <c r="D9" s="12">
        <f t="shared" si="2"/>
        <v>2</v>
      </c>
      <c r="E9" s="12">
        <f t="shared" si="3"/>
        <v>116</v>
      </c>
    </row>
    <row r="10" spans="1:6" ht="15.75" x14ac:dyDescent="0.25">
      <c r="A10" s="12">
        <v>8</v>
      </c>
      <c r="B10" s="12">
        <f t="shared" si="0"/>
        <v>2</v>
      </c>
      <c r="C10" s="12">
        <f t="shared" si="1"/>
        <v>134</v>
      </c>
      <c r="D10" s="12">
        <f t="shared" si="2"/>
        <v>4</v>
      </c>
      <c r="E10" s="12">
        <f t="shared" si="3"/>
        <v>138</v>
      </c>
    </row>
    <row r="11" spans="1:6" ht="15.75" x14ac:dyDescent="0.25">
      <c r="A11" s="12">
        <v>9</v>
      </c>
      <c r="B11" s="12">
        <f t="shared" si="0"/>
        <v>3</v>
      </c>
      <c r="C11" s="12">
        <f t="shared" si="1"/>
        <v>154</v>
      </c>
      <c r="D11" s="12">
        <f t="shared" si="2"/>
        <v>6</v>
      </c>
      <c r="E11" s="12">
        <f t="shared" si="3"/>
        <v>160</v>
      </c>
    </row>
    <row r="12" spans="1:6" ht="15.75" x14ac:dyDescent="0.25">
      <c r="A12" s="12">
        <v>10</v>
      </c>
      <c r="B12" s="12">
        <f t="shared" si="0"/>
        <v>4</v>
      </c>
      <c r="C12" s="12">
        <f t="shared" si="1"/>
        <v>174</v>
      </c>
      <c r="D12" s="12">
        <f t="shared" si="2"/>
        <v>8</v>
      </c>
      <c r="E12" s="12">
        <f t="shared" si="3"/>
        <v>182</v>
      </c>
    </row>
    <row r="15" spans="1:6" ht="18.75" x14ac:dyDescent="0.3">
      <c r="E15" s="3" t="s">
        <v>5</v>
      </c>
      <c r="F15" s="3">
        <f>MIN(E2:E12)</f>
        <v>94</v>
      </c>
    </row>
    <row r="16" spans="1:6" ht="18.75" x14ac:dyDescent="0.3">
      <c r="E16" s="3" t="s">
        <v>6</v>
      </c>
      <c r="F16" s="3">
        <f>INDEX(A2:A12, MATCH(MIN(E2:E12), E2:E12, 0))</f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Views>
    <sheetView tabSelected="1" zoomScale="85" zoomScaleNormal="85" workbookViewId="0">
      <selection activeCell="R18" sqref="R18"/>
    </sheetView>
  </sheetViews>
  <sheetFormatPr defaultRowHeight="15" x14ac:dyDescent="0.25"/>
  <cols>
    <col min="2" max="2" width="12.28515625" customWidth="1"/>
    <col min="3" max="3" width="10.85546875" customWidth="1"/>
    <col min="4" max="4" width="10.42578125" customWidth="1"/>
    <col min="5" max="5" width="12.85546875" customWidth="1"/>
    <col min="9" max="9" width="11.28515625" customWidth="1"/>
    <col min="10" max="10" width="13.7109375" customWidth="1"/>
  </cols>
  <sheetData>
    <row r="1" spans="1:27" x14ac:dyDescent="0.25">
      <c r="A1" s="1"/>
      <c r="B1" s="1"/>
      <c r="C1" s="1"/>
      <c r="D1" s="1"/>
      <c r="E1" s="1"/>
      <c r="F1" s="1"/>
      <c r="H1" s="1"/>
      <c r="I1" s="1"/>
      <c r="J1" s="1"/>
      <c r="K1" s="1"/>
      <c r="L1" s="1"/>
      <c r="M1" s="1"/>
      <c r="N1" s="1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x14ac:dyDescent="0.25">
      <c r="A2" s="1"/>
      <c r="B2" s="1"/>
      <c r="C2" s="1"/>
      <c r="D2" s="1"/>
      <c r="E2" s="1"/>
      <c r="F2" s="1"/>
      <c r="H2" s="1"/>
      <c r="I2" s="1"/>
      <c r="J2" s="1"/>
      <c r="K2" s="1"/>
      <c r="L2" s="1"/>
      <c r="M2" s="1"/>
      <c r="N2" s="1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x14ac:dyDescent="0.25">
      <c r="A3" s="1"/>
      <c r="B3" s="1"/>
      <c r="C3" s="1"/>
      <c r="D3" s="1"/>
      <c r="E3" s="1"/>
      <c r="F3" s="1"/>
      <c r="H3" s="1"/>
      <c r="I3" s="1"/>
      <c r="J3" s="1"/>
      <c r="K3" s="1"/>
      <c r="L3" s="1"/>
      <c r="M3" s="1"/>
      <c r="N3" s="1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1"/>
      <c r="B4" s="1"/>
      <c r="C4" s="1"/>
      <c r="D4" s="1"/>
      <c r="E4" s="1"/>
      <c r="F4" s="1"/>
      <c r="H4" s="1"/>
      <c r="I4" s="1"/>
      <c r="J4" s="1"/>
      <c r="K4" s="1"/>
      <c r="L4" s="1"/>
      <c r="M4" s="1"/>
      <c r="N4" s="1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x14ac:dyDescent="0.25">
      <c r="A5" s="1"/>
      <c r="B5" s="1"/>
      <c r="C5" s="1"/>
      <c r="D5" s="1"/>
      <c r="E5" s="1"/>
      <c r="F5" s="1"/>
      <c r="H5" s="1"/>
      <c r="I5" s="1"/>
      <c r="J5" s="1"/>
      <c r="K5" s="1"/>
      <c r="L5" s="1"/>
      <c r="M5" s="1"/>
      <c r="N5" s="1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x14ac:dyDescent="0.25">
      <c r="A6" s="1"/>
      <c r="B6" s="1"/>
      <c r="C6" s="1"/>
      <c r="D6" s="1"/>
      <c r="E6" s="1"/>
      <c r="F6" s="1"/>
      <c r="H6" s="1"/>
      <c r="I6" s="1"/>
      <c r="J6" s="1"/>
      <c r="K6" s="1"/>
      <c r="L6" s="1"/>
      <c r="M6" s="1"/>
      <c r="N6" s="1"/>
    </row>
    <row r="7" spans="1:27" x14ac:dyDescent="0.25">
      <c r="A7" s="1"/>
      <c r="B7" s="1"/>
      <c r="C7" s="1"/>
      <c r="D7" s="1"/>
      <c r="E7" s="1"/>
      <c r="F7" s="1"/>
      <c r="H7" s="1"/>
      <c r="I7" s="1"/>
      <c r="J7" s="1"/>
      <c r="K7" s="1"/>
      <c r="L7" s="1"/>
      <c r="M7" s="1"/>
      <c r="N7" s="1"/>
    </row>
    <row r="9" spans="1:27" x14ac:dyDescent="0.25">
      <c r="H9" s="2"/>
      <c r="I9" s="2"/>
      <c r="J9" s="2"/>
      <c r="K9" s="2"/>
      <c r="L9" s="2"/>
      <c r="M9" s="2"/>
      <c r="N9" s="2"/>
    </row>
    <row r="10" spans="1:27" x14ac:dyDescent="0.25">
      <c r="H10" s="2"/>
      <c r="I10" s="2"/>
      <c r="J10" s="2"/>
      <c r="K10" s="2"/>
      <c r="L10" s="2"/>
      <c r="M10" s="2"/>
      <c r="N10" s="2"/>
    </row>
    <row r="11" spans="1:27" ht="21" x14ac:dyDescent="0.35">
      <c r="B11" s="15" t="s">
        <v>7</v>
      </c>
      <c r="C11" s="15" t="s">
        <v>8</v>
      </c>
      <c r="D11" s="16" t="s">
        <v>9</v>
      </c>
      <c r="E11" s="16" t="s">
        <v>10</v>
      </c>
      <c r="H11" s="2"/>
      <c r="I11" s="2"/>
      <c r="J11" s="2"/>
      <c r="K11" s="2"/>
      <c r="L11" s="2"/>
      <c r="M11" s="2"/>
      <c r="N11" s="2"/>
    </row>
    <row r="12" spans="1:27" ht="21" x14ac:dyDescent="0.35">
      <c r="B12" s="17">
        <v>1</v>
      </c>
      <c r="C12" s="17">
        <v>3</v>
      </c>
      <c r="D12" s="17">
        <v>3</v>
      </c>
      <c r="E12" s="17">
        <v>1</v>
      </c>
      <c r="H12" s="2"/>
      <c r="I12" s="2"/>
      <c r="J12" s="2"/>
      <c r="K12" s="2"/>
      <c r="L12" s="2"/>
      <c r="M12" s="2"/>
      <c r="N12" s="2"/>
    </row>
    <row r="13" spans="1:27" ht="21" x14ac:dyDescent="0.35">
      <c r="B13" s="17">
        <v>2</v>
      </c>
      <c r="C13" s="17">
        <v>2</v>
      </c>
      <c r="D13" s="17">
        <v>7</v>
      </c>
      <c r="E13" s="17">
        <v>3</v>
      </c>
      <c r="I13" s="3" t="s">
        <v>11</v>
      </c>
      <c r="J13" s="3">
        <f>'Period 1'!F15</f>
        <v>2</v>
      </c>
    </row>
    <row r="14" spans="1:27" ht="21" x14ac:dyDescent="0.35">
      <c r="B14" s="17">
        <v>3</v>
      </c>
      <c r="C14" s="17">
        <v>4</v>
      </c>
      <c r="D14" s="17">
        <v>6</v>
      </c>
      <c r="E14" s="17">
        <v>2</v>
      </c>
      <c r="I14" s="3" t="s">
        <v>12</v>
      </c>
      <c r="J14" s="3">
        <f>'Period 2'!F16</f>
        <v>7</v>
      </c>
      <c r="L14" s="4" t="s">
        <v>14</v>
      </c>
      <c r="M14" s="4">
        <f>SUM('Period 3'!F15+'Period 2'!F15+'Period 1'!F14)</f>
        <v>229</v>
      </c>
    </row>
    <row r="15" spans="1:27" ht="18.75" x14ac:dyDescent="0.3">
      <c r="I15" s="3" t="s">
        <v>13</v>
      </c>
      <c r="J15" s="3">
        <f>'Period 3'!F16</f>
        <v>6</v>
      </c>
    </row>
  </sheetData>
  <mergeCells count="3">
    <mergeCell ref="A1:F7"/>
    <mergeCell ref="H1:N7"/>
    <mergeCell ref="P1:AA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Period 1</vt:lpstr>
      <vt:lpstr>Period 2</vt:lpstr>
      <vt:lpstr>Period 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Muzamil Mia</cp:lastModifiedBy>
  <dcterms:created xsi:type="dcterms:W3CDTF">2026-04-07T12:08:03Z</dcterms:created>
  <dcterms:modified xsi:type="dcterms:W3CDTF">2026-04-07T15:40:38Z</dcterms:modified>
</cp:coreProperties>
</file>