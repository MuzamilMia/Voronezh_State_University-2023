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uzamil Mia\Desktop\"/>
    </mc:Choice>
  </mc:AlternateContent>
  <bookViews>
    <workbookView xWindow="0" yWindow="0" windowWidth="11520" windowHeight="7095"/>
  </bookViews>
  <sheets>
    <sheet name="Лист1" sheetId="1" r:id="rId1"/>
    <sheet name="Лист3" sheetId="3" r:id="rId2"/>
    <sheet name="Лист2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17" i="1"/>
  <c r="E18" i="1"/>
  <c r="E9" i="1"/>
  <c r="D10" i="1"/>
  <c r="D11" i="1"/>
  <c r="D12" i="1"/>
  <c r="D13" i="1"/>
  <c r="D14" i="1"/>
  <c r="D15" i="1"/>
  <c r="D16" i="1"/>
  <c r="D17" i="1"/>
  <c r="D18" i="1"/>
  <c r="D9" i="1"/>
  <c r="C10" i="1"/>
  <c r="C11" i="1"/>
  <c r="C12" i="1"/>
  <c r="C13" i="1"/>
  <c r="C14" i="1"/>
  <c r="C15" i="1"/>
  <c r="C16" i="1"/>
  <c r="C17" i="1"/>
  <c r="C18" i="1"/>
  <c r="C9" i="1"/>
  <c r="P59" i="1"/>
  <c r="N59" i="1"/>
  <c r="P58" i="1"/>
  <c r="N58" i="1"/>
  <c r="P57" i="1"/>
  <c r="N57" i="1"/>
  <c r="P56" i="1"/>
  <c r="N56" i="1"/>
  <c r="P55" i="1"/>
  <c r="N55" i="1"/>
  <c r="P54" i="1"/>
  <c r="N54" i="1"/>
  <c r="P53" i="1"/>
  <c r="N53" i="1"/>
  <c r="T41" i="1" l="1"/>
  <c r="O53" i="1"/>
  <c r="Q53" i="1" s="1"/>
  <c r="R53" i="1" s="1"/>
  <c r="C10" i="2" l="1"/>
  <c r="I37" i="2"/>
  <c r="J37" i="2"/>
  <c r="J38" i="2"/>
  <c r="H36" i="2"/>
  <c r="I36" i="2"/>
  <c r="J36" i="2"/>
  <c r="H25" i="2"/>
  <c r="I25" i="2"/>
  <c r="J25" i="2"/>
  <c r="K25" i="2"/>
  <c r="L25" i="2"/>
  <c r="I26" i="2"/>
  <c r="J26" i="2"/>
  <c r="K26" i="2"/>
  <c r="L26" i="2"/>
  <c r="J27" i="2"/>
  <c r="K27" i="2"/>
  <c r="L27" i="2"/>
  <c r="K28" i="2"/>
  <c r="L28" i="2"/>
  <c r="L29" i="2"/>
  <c r="G24" i="2"/>
  <c r="H24" i="2"/>
  <c r="I24" i="2"/>
  <c r="J24" i="2"/>
  <c r="K24" i="2"/>
  <c r="L24" i="2"/>
  <c r="Q26" i="2" l="1"/>
  <c r="Q24" i="2"/>
  <c r="T28" i="3"/>
  <c r="Q22" i="2"/>
  <c r="T25" i="3"/>
  <c r="R35" i="2" l="1"/>
  <c r="S35" i="2"/>
  <c r="T35" i="2"/>
  <c r="Q35" i="2"/>
  <c r="D35" i="2"/>
  <c r="O36" i="2"/>
  <c r="B36" i="2"/>
  <c r="B37" i="2"/>
  <c r="B38" i="2"/>
  <c r="B39" i="2"/>
  <c r="E35" i="2"/>
  <c r="F35" i="2"/>
  <c r="G35" i="2"/>
  <c r="H35" i="2"/>
  <c r="I35" i="2"/>
  <c r="J35" i="2"/>
  <c r="D23" i="2"/>
  <c r="E23" i="2"/>
  <c r="F23" i="2"/>
  <c r="G23" i="2"/>
  <c r="H23" i="2"/>
  <c r="I23" i="2"/>
  <c r="J23" i="2"/>
  <c r="K23" i="2"/>
  <c r="L23" i="2"/>
  <c r="K16" i="3"/>
  <c r="B25" i="2"/>
  <c r="B26" i="2"/>
  <c r="B27" i="2"/>
  <c r="B28" i="2"/>
  <c r="B29" i="2"/>
  <c r="B30" i="2"/>
  <c r="B24" i="2"/>
  <c r="C11" i="2"/>
  <c r="D11" i="2" s="1"/>
  <c r="E11" i="2" s="1"/>
  <c r="C12" i="2"/>
  <c r="D12" i="2" s="1"/>
  <c r="E12" i="2" s="1"/>
  <c r="C13" i="2"/>
  <c r="D13" i="2" s="1"/>
  <c r="E13" i="2" s="1"/>
  <c r="C14" i="2"/>
  <c r="D14" i="2" s="1"/>
  <c r="E14" i="2" s="1"/>
  <c r="C15" i="2"/>
  <c r="D15" i="2" s="1"/>
  <c r="E15" i="2" s="1"/>
  <c r="C16" i="2"/>
  <c r="D16" i="2" s="1"/>
  <c r="E16" i="2" s="1"/>
  <c r="C17" i="2"/>
  <c r="D17" i="2" s="1"/>
  <c r="E17" i="2" s="1"/>
  <c r="C18" i="2"/>
  <c r="D18" i="2" s="1"/>
  <c r="E18" i="2" s="1"/>
  <c r="D30" i="2" s="1"/>
  <c r="C16" i="3"/>
  <c r="C17" i="3"/>
  <c r="C18" i="3"/>
  <c r="C19" i="3"/>
  <c r="C20" i="3"/>
  <c r="C21" i="3"/>
  <c r="C15" i="3"/>
  <c r="L39" i="1"/>
  <c r="D10" i="2"/>
  <c r="E10" i="2" s="1"/>
  <c r="D15" i="3"/>
  <c r="E15" i="3" s="1"/>
  <c r="B11" i="2"/>
  <c r="B12" i="2"/>
  <c r="B13" i="2"/>
  <c r="B14" i="2"/>
  <c r="B15" i="2"/>
  <c r="B16" i="2"/>
  <c r="B17" i="2"/>
  <c r="B18" i="2"/>
  <c r="B10" i="2"/>
  <c r="J4" i="2"/>
  <c r="L4" i="2" s="1"/>
  <c r="J5" i="2"/>
  <c r="J6" i="2"/>
  <c r="K6" i="2" s="1"/>
  <c r="J7" i="2"/>
  <c r="J8" i="2"/>
  <c r="K8" i="2" s="1"/>
  <c r="J9" i="2"/>
  <c r="L9" i="2" s="1"/>
  <c r="J10" i="2"/>
  <c r="L10" i="2" s="1"/>
  <c r="J11" i="2"/>
  <c r="L11" i="2" s="1"/>
  <c r="J12" i="2"/>
  <c r="L12" i="2" s="1"/>
  <c r="J13" i="2"/>
  <c r="J14" i="2"/>
  <c r="J15" i="2"/>
  <c r="J16" i="2"/>
  <c r="J3" i="2"/>
  <c r="J4" i="3"/>
  <c r="J5" i="3"/>
  <c r="M5" i="3" s="1"/>
  <c r="M26" i="3" s="1"/>
  <c r="J6" i="3"/>
  <c r="J7" i="3"/>
  <c r="J8" i="3"/>
  <c r="J9" i="3"/>
  <c r="J10" i="3"/>
  <c r="M10" i="3" s="1"/>
  <c r="J11" i="3"/>
  <c r="M11" i="3" s="1"/>
  <c r="J3" i="3"/>
  <c r="K3" i="3" s="1"/>
  <c r="K7" i="2"/>
  <c r="K15" i="2"/>
  <c r="K16" i="2"/>
  <c r="L3" i="2"/>
  <c r="N5" i="2"/>
  <c r="N6" i="2"/>
  <c r="N13" i="2"/>
  <c r="N14" i="2"/>
  <c r="M5" i="2"/>
  <c r="M6" i="2"/>
  <c r="M7" i="2"/>
  <c r="M8" i="2"/>
  <c r="M13" i="2"/>
  <c r="M14" i="2"/>
  <c r="M15" i="2"/>
  <c r="M16" i="2"/>
  <c r="L5" i="2"/>
  <c r="L6" i="2"/>
  <c r="L7" i="2"/>
  <c r="L8" i="2"/>
  <c r="L13" i="2"/>
  <c r="L14" i="2"/>
  <c r="L15" i="2"/>
  <c r="L16" i="2"/>
  <c r="K5" i="2"/>
  <c r="K13" i="2"/>
  <c r="K14" i="2"/>
  <c r="K3" i="2"/>
  <c r="U41" i="1"/>
  <c r="L26" i="3"/>
  <c r="N26" i="3"/>
  <c r="M4" i="3"/>
  <c r="M6" i="3"/>
  <c r="M7" i="3"/>
  <c r="O26" i="3" s="1"/>
  <c r="M8" i="3"/>
  <c r="M9" i="3"/>
  <c r="L4" i="3"/>
  <c r="L6" i="3"/>
  <c r="L7" i="3"/>
  <c r="O16" i="3" s="1"/>
  <c r="L8" i="3"/>
  <c r="P16" i="3" s="1"/>
  <c r="L9" i="3"/>
  <c r="Q16" i="3" s="1"/>
  <c r="L3" i="3"/>
  <c r="K4" i="3"/>
  <c r="K5" i="3"/>
  <c r="K6" i="3"/>
  <c r="D16" i="3" s="1"/>
  <c r="E16" i="3" s="1"/>
  <c r="K7" i="3"/>
  <c r="D17" i="3" s="1"/>
  <c r="E17" i="3" s="1"/>
  <c r="K8" i="3"/>
  <c r="D18" i="3" s="1"/>
  <c r="E18" i="3" s="1"/>
  <c r="K9" i="3"/>
  <c r="D19" i="3" s="1"/>
  <c r="E19" i="3" s="1"/>
  <c r="L16" i="3"/>
  <c r="N16" i="3"/>
  <c r="I19" i="3"/>
  <c r="I20" i="3"/>
  <c r="I21" i="3"/>
  <c r="I17" i="3"/>
  <c r="D29" i="1"/>
  <c r="I18" i="3"/>
  <c r="B16" i="3"/>
  <c r="B17" i="3"/>
  <c r="B18" i="3"/>
  <c r="B19" i="3"/>
  <c r="B20" i="3"/>
  <c r="B21" i="3"/>
  <c r="B15" i="3"/>
  <c r="H26" i="2" l="1"/>
  <c r="L30" i="2"/>
  <c r="G25" i="2"/>
  <c r="K29" i="2"/>
  <c r="I27" i="2"/>
  <c r="F24" i="2"/>
  <c r="J28" i="2"/>
  <c r="G26" i="2"/>
  <c r="K30" i="2"/>
  <c r="H27" i="2"/>
  <c r="E24" i="2"/>
  <c r="J29" i="2"/>
  <c r="I28" i="2"/>
  <c r="F25" i="2"/>
  <c r="D29" i="2"/>
  <c r="M29" i="2" s="1"/>
  <c r="E30" i="2"/>
  <c r="M30" i="2" s="1"/>
  <c r="D39" i="2" s="1"/>
  <c r="E29" i="2"/>
  <c r="D28" i="2"/>
  <c r="F30" i="2"/>
  <c r="E28" i="2"/>
  <c r="F29" i="2"/>
  <c r="G30" i="2"/>
  <c r="D27" i="2"/>
  <c r="M27" i="2" s="1"/>
  <c r="F28" i="2"/>
  <c r="M28" i="2" s="1"/>
  <c r="D26" i="2"/>
  <c r="H30" i="2"/>
  <c r="G29" i="2"/>
  <c r="E27" i="2"/>
  <c r="F27" i="2"/>
  <c r="G28" i="2"/>
  <c r="E26" i="2"/>
  <c r="I30" i="2"/>
  <c r="D25" i="2"/>
  <c r="H29" i="2"/>
  <c r="F26" i="2"/>
  <c r="J30" i="2"/>
  <c r="G27" i="2"/>
  <c r="D24" i="2"/>
  <c r="M24" i="2" s="1"/>
  <c r="E25" i="2"/>
  <c r="I29" i="2"/>
  <c r="H28" i="2"/>
  <c r="M11" i="2"/>
  <c r="M10" i="2"/>
  <c r="M9" i="2"/>
  <c r="P21" i="3"/>
  <c r="O21" i="3"/>
  <c r="Q21" i="3"/>
  <c r="N19" i="3"/>
  <c r="L5" i="3"/>
  <c r="M16" i="3" s="1"/>
  <c r="M19" i="3" s="1"/>
  <c r="K11" i="3"/>
  <c r="D21" i="3" s="1"/>
  <c r="E21" i="3" s="1"/>
  <c r="K21" i="3" s="1"/>
  <c r="K10" i="3"/>
  <c r="D20" i="3" s="1"/>
  <c r="E20" i="3" s="1"/>
  <c r="L21" i="3" s="1"/>
  <c r="L11" i="3"/>
  <c r="L10" i="3"/>
  <c r="K17" i="3"/>
  <c r="L20" i="3"/>
  <c r="M3" i="3"/>
  <c r="K26" i="3" s="1"/>
  <c r="O20" i="3"/>
  <c r="L19" i="3"/>
  <c r="O19" i="3"/>
  <c r="N4" i="2"/>
  <c r="K12" i="2"/>
  <c r="N10" i="2"/>
  <c r="K10" i="2"/>
  <c r="N9" i="2"/>
  <c r="K9" i="2"/>
  <c r="N8" i="2"/>
  <c r="N12" i="2"/>
  <c r="M12" i="2"/>
  <c r="N16" i="2"/>
  <c r="N15" i="2"/>
  <c r="N7" i="2"/>
  <c r="K4" i="2"/>
  <c r="N11" i="2"/>
  <c r="K11" i="2"/>
  <c r="M4" i="2"/>
  <c r="N3" i="2"/>
  <c r="M3" i="2"/>
  <c r="N21" i="3"/>
  <c r="N18" i="3"/>
  <c r="N20" i="3"/>
  <c r="M21" i="3"/>
  <c r="P20" i="3"/>
  <c r="L18" i="3"/>
  <c r="L17" i="3"/>
  <c r="K20" i="3"/>
  <c r="K19" i="3"/>
  <c r="K18" i="3"/>
  <c r="D37" i="2" l="1"/>
  <c r="E38" i="2"/>
  <c r="F39" i="2"/>
  <c r="E37" i="2"/>
  <c r="F38" i="2"/>
  <c r="G39" i="2"/>
  <c r="D36" i="2"/>
  <c r="D38" i="2"/>
  <c r="E39" i="2"/>
  <c r="G36" i="2"/>
  <c r="H37" i="2"/>
  <c r="I38" i="2"/>
  <c r="J39" i="2"/>
  <c r="M25" i="2"/>
  <c r="M26" i="2"/>
  <c r="M20" i="3"/>
  <c r="M17" i="3"/>
  <c r="M18" i="3"/>
  <c r="R18" i="3"/>
  <c r="N27" i="3" s="1"/>
  <c r="R19" i="3"/>
  <c r="M27" i="3" s="1"/>
  <c r="R21" i="3"/>
  <c r="K27" i="3" s="1"/>
  <c r="R20" i="3"/>
  <c r="L27" i="3" s="1"/>
  <c r="R17" i="3"/>
  <c r="O27" i="3" s="1"/>
  <c r="G38" i="2" l="1"/>
  <c r="K38" i="2" s="1"/>
  <c r="R36" i="2" s="1"/>
  <c r="H39" i="2"/>
  <c r="K39" i="2" s="1"/>
  <c r="Q36" i="2" s="1"/>
  <c r="F37" i="2"/>
  <c r="E36" i="2"/>
  <c r="K36" i="2" s="1"/>
  <c r="T36" i="2" s="1"/>
  <c r="F36" i="2"/>
  <c r="G37" i="2"/>
  <c r="H38" i="2"/>
  <c r="I39" i="2"/>
  <c r="P27" i="3"/>
  <c r="K37" i="2" l="1"/>
  <c r="S36" i="2" s="1"/>
  <c r="U36" i="2" s="1"/>
  <c r="V41" i="1"/>
  <c r="N40" i="1"/>
  <c r="N41" i="1"/>
  <c r="N42" i="1"/>
  <c r="N43" i="1"/>
  <c r="N44" i="1"/>
  <c r="N45" i="1"/>
  <c r="N39" i="1"/>
  <c r="L40" i="1"/>
  <c r="L41" i="1"/>
  <c r="L42" i="1"/>
  <c r="L43" i="1"/>
  <c r="L44" i="1"/>
  <c r="L45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C22" i="1"/>
  <c r="C23" i="1"/>
  <c r="C24" i="1"/>
  <c r="C25" i="1"/>
  <c r="C26" i="1"/>
  <c r="E29" i="1"/>
  <c r="M39" i="1"/>
  <c r="O54" i="1"/>
  <c r="Q54" i="1" s="1"/>
  <c r="R54" i="1" s="1"/>
  <c r="O55" i="1"/>
  <c r="O56" i="1"/>
  <c r="Q56" i="1" s="1"/>
  <c r="R56" i="1" s="1"/>
  <c r="O57" i="1"/>
  <c r="O58" i="1"/>
  <c r="O59" i="1"/>
  <c r="Q59" i="1" l="1"/>
  <c r="R59" i="1" s="1"/>
  <c r="Q55" i="1"/>
  <c r="R55" i="1"/>
  <c r="Q58" i="1"/>
  <c r="R58" i="1" s="1"/>
  <c r="Q57" i="1"/>
  <c r="R57" i="1"/>
  <c r="D23" i="1"/>
  <c r="E23" i="1" s="1"/>
  <c r="G30" i="1" s="1"/>
  <c r="M42" i="1"/>
  <c r="E53" i="1"/>
  <c r="E41" i="1"/>
  <c r="E43" i="1"/>
  <c r="E39" i="1"/>
  <c r="E33" i="1"/>
  <c r="E37" i="1"/>
  <c r="E59" i="1"/>
  <c r="E55" i="1"/>
  <c r="E51" i="1"/>
  <c r="E31" i="1"/>
  <c r="E57" i="1"/>
  <c r="E49" i="1"/>
  <c r="D26" i="1"/>
  <c r="E26" i="1" s="1"/>
  <c r="G58" i="1" s="1"/>
  <c r="D22" i="1"/>
  <c r="E22" i="1" s="1"/>
  <c r="E60" i="1"/>
  <c r="E56" i="1"/>
  <c r="E52" i="1"/>
  <c r="E48" i="1"/>
  <c r="E44" i="1"/>
  <c r="E40" i="1"/>
  <c r="E36" i="1"/>
  <c r="E32" i="1"/>
  <c r="M45" i="1"/>
  <c r="M41" i="1"/>
  <c r="E45" i="1"/>
  <c r="D25" i="1"/>
  <c r="E25" i="1" s="1"/>
  <c r="M44" i="1"/>
  <c r="M40" i="1"/>
  <c r="E61" i="1"/>
  <c r="E63" i="1"/>
  <c r="D24" i="1"/>
  <c r="E24" i="1" s="1"/>
  <c r="E62" i="1"/>
  <c r="E58" i="1"/>
  <c r="E54" i="1"/>
  <c r="E50" i="1"/>
  <c r="E46" i="1"/>
  <c r="E42" i="1"/>
  <c r="E38" i="1"/>
  <c r="E34" i="1"/>
  <c r="E30" i="1"/>
  <c r="M43" i="1"/>
  <c r="E47" i="1"/>
  <c r="E35" i="1"/>
  <c r="G29" i="1" l="1"/>
  <c r="H29" i="1" s="1"/>
  <c r="G33" i="1"/>
  <c r="H33" i="1" s="1"/>
  <c r="G39" i="1"/>
  <c r="H39" i="1" s="1"/>
  <c r="G54" i="1"/>
  <c r="H54" i="1" s="1"/>
  <c r="G63" i="1"/>
  <c r="H63" i="1" s="1"/>
  <c r="G38" i="1"/>
  <c r="H38" i="1" s="1"/>
  <c r="G34" i="1"/>
  <c r="H34" i="1" s="1"/>
  <c r="G57" i="1"/>
  <c r="H57" i="1" s="1"/>
  <c r="G47" i="1"/>
  <c r="H47" i="1" s="1"/>
  <c r="G44" i="1"/>
  <c r="H44" i="1" s="1"/>
  <c r="G49" i="1"/>
  <c r="H49" i="1" s="1"/>
  <c r="G59" i="1"/>
  <c r="H59" i="1" s="1"/>
  <c r="G42" i="1"/>
  <c r="H42" i="1" s="1"/>
  <c r="G62" i="1"/>
  <c r="H62" i="1" s="1"/>
  <c r="G46" i="1"/>
  <c r="H46" i="1" s="1"/>
  <c r="G31" i="1"/>
  <c r="H31" i="1" s="1"/>
  <c r="G36" i="1"/>
  <c r="H36" i="1" s="1"/>
  <c r="G51" i="1"/>
  <c r="H51" i="1" s="1"/>
  <c r="G61" i="1"/>
  <c r="H61" i="1" s="1"/>
  <c r="G56" i="1"/>
  <c r="H56" i="1" s="1"/>
  <c r="G41" i="1"/>
  <c r="H41" i="1" s="1"/>
  <c r="H30" i="1"/>
  <c r="G60" i="1"/>
  <c r="H60" i="1" s="1"/>
  <c r="G45" i="1"/>
  <c r="H45" i="1" s="1"/>
  <c r="G52" i="1"/>
  <c r="H52" i="1" s="1"/>
  <c r="G37" i="1"/>
  <c r="H37" i="1" s="1"/>
  <c r="G53" i="1"/>
  <c r="H53" i="1" s="1"/>
  <c r="G48" i="1"/>
  <c r="H48" i="1" s="1"/>
  <c r="G32" i="1"/>
  <c r="H32" i="1" s="1"/>
  <c r="G43" i="1"/>
  <c r="H43" i="1" s="1"/>
  <c r="G40" i="1"/>
  <c r="H40" i="1" s="1"/>
  <c r="G35" i="1"/>
  <c r="H35" i="1" s="1"/>
  <c r="G50" i="1"/>
  <c r="H50" i="1" s="1"/>
  <c r="G55" i="1"/>
  <c r="H55" i="1" s="1"/>
  <c r="H58" i="1"/>
  <c r="H25" i="1" l="1"/>
  <c r="H26" i="1"/>
  <c r="O45" i="1" s="1"/>
  <c r="P45" i="1" s="1"/>
  <c r="H20" i="1"/>
  <c r="O39" i="1" s="1"/>
  <c r="H24" i="1"/>
  <c r="O43" i="1" s="1"/>
  <c r="P43" i="1" s="1"/>
  <c r="O44" i="1"/>
  <c r="P44" i="1" s="1"/>
  <c r="H23" i="1"/>
  <c r="O42" i="1" s="1"/>
  <c r="P42" i="1" s="1"/>
  <c r="H22" i="1"/>
  <c r="O41" i="1" s="1"/>
  <c r="P41" i="1" s="1"/>
  <c r="H21" i="1"/>
  <c r="O40" i="1" s="1"/>
  <c r="P40" i="1" s="1"/>
  <c r="P39" i="1" l="1"/>
  <c r="S41" i="1" s="1"/>
</calcChain>
</file>

<file path=xl/sharedStrings.xml><?xml version="1.0" encoding="utf-8"?>
<sst xmlns="http://schemas.openxmlformats.org/spreadsheetml/2006/main" count="163" uniqueCount="80">
  <si>
    <t>Период</t>
  </si>
  <si>
    <t>k</t>
  </si>
  <si>
    <t>h</t>
  </si>
  <si>
    <t>β</t>
  </si>
  <si>
    <t>y</t>
  </si>
  <si>
    <t>C1(y)</t>
  </si>
  <si>
    <t>C2(y)</t>
  </si>
  <si>
    <t>C3(y)</t>
  </si>
  <si>
    <t>x3</t>
  </si>
  <si>
    <t>y3</t>
  </si>
  <si>
    <t>f3(x3)</t>
  </si>
  <si>
    <t>x2</t>
  </si>
  <si>
    <t>y2</t>
  </si>
  <si>
    <t>C3(y3)</t>
  </si>
  <si>
    <t>C2(y2)</t>
  </si>
  <si>
    <t>h2*x3</t>
  </si>
  <si>
    <t>f3(X3)</t>
  </si>
  <si>
    <t>Сумма</t>
  </si>
  <si>
    <t>min f2(x2)</t>
  </si>
  <si>
    <t>x1</t>
  </si>
  <si>
    <t>y1</t>
  </si>
  <si>
    <t>C1(y1)</t>
  </si>
  <si>
    <t>h1*x2</t>
  </si>
  <si>
    <t>f2(x2)</t>
  </si>
  <si>
    <t>y1*</t>
  </si>
  <si>
    <t>Общие затраты</t>
  </si>
  <si>
    <t>y2*</t>
  </si>
  <si>
    <t>y3*</t>
  </si>
  <si>
    <t>C4(y)</t>
  </si>
  <si>
    <t>Исходный запас</t>
  </si>
  <si>
    <t>C(y)</t>
  </si>
  <si>
    <t>Таблица полных затрат на 1, 2, 3 периоды</t>
  </si>
  <si>
    <t>Этап 1</t>
  </si>
  <si>
    <t>0&lt;=x2&lt;=2+4=6</t>
  </si>
  <si>
    <t>f1(x2)</t>
  </si>
  <si>
    <t>Этап 2</t>
  </si>
  <si>
    <t>β2=2</t>
  </si>
  <si>
    <t>0&lt;=x3&lt;=4</t>
  </si>
  <si>
    <t>x4</t>
  </si>
  <si>
    <t>x5</t>
  </si>
  <si>
    <t>y2=</t>
  </si>
  <si>
    <t>C2(y)=</t>
  </si>
  <si>
    <t>C2(y2)+h2*x3+f1(x3+β2-y2)</t>
  </si>
  <si>
    <t>f2(x3)</t>
  </si>
  <si>
    <t>Оптимальное решение</t>
  </si>
  <si>
    <t>Этап 3</t>
  </si>
  <si>
    <t>β3=4</t>
  </si>
  <si>
    <t>x4=4</t>
  </si>
  <si>
    <t>h3*x4</t>
  </si>
  <si>
    <t>C3(y)=</t>
  </si>
  <si>
    <t>y3=</t>
  </si>
  <si>
    <t>C3(y3)+h3*x4+f2(x4+β3-y3)</t>
  </si>
  <si>
    <t>f3(x4)</t>
  </si>
  <si>
    <t>Затраты</t>
  </si>
  <si>
    <t>Таблица полных затрат на 1, 2, 3, 4 периоды</t>
  </si>
  <si>
    <t>β1=5</t>
  </si>
  <si>
    <t>0&lt;=x2&lt;=2+3+3=8</t>
  </si>
  <si>
    <t>β1=3</t>
  </si>
  <si>
    <t>0&lt;=x3&lt;=3+3=6</t>
  </si>
  <si>
    <t>β3=3</t>
  </si>
  <si>
    <t>0&lt;=x4&lt;=3</t>
  </si>
  <si>
    <t>C4(y)=</t>
  </si>
  <si>
    <t>Этап 4</t>
  </si>
  <si>
    <t>β4=3</t>
  </si>
  <si>
    <t>x5=3</t>
  </si>
  <si>
    <t>h4*x5</t>
  </si>
  <si>
    <t>y4=</t>
  </si>
  <si>
    <t>C4(y4)+h4*x5+f3(x5+β4-y4)</t>
  </si>
  <si>
    <t>f4(x5)</t>
  </si>
  <si>
    <t>y4*</t>
  </si>
  <si>
    <t>x3=x4+β3-y3</t>
  </si>
  <si>
    <t>x2=x3+β2-y2</t>
  </si>
  <si>
    <t>x4=x5+β4-y4</t>
  </si>
  <si>
    <t>The Results of the task</t>
  </si>
  <si>
    <t xml:space="preserve"> x3</t>
  </si>
  <si>
    <t xml:space="preserve"> xi</t>
  </si>
  <si>
    <t>Table C(y)</t>
  </si>
  <si>
    <t>Round 3</t>
  </si>
  <si>
    <t>Round 2</t>
  </si>
  <si>
    <t>Round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</si>
</sst>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sz val="11"/>
      <color rgb="FF333333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rgb="FF0F1115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 applyAlignment="1"/>
    <xf numFmtId="0" fontId="1" fillId="0" borderId="2" xfId="0" applyFont="1" applyBorder="1"/>
    <xf numFmtId="0" fontId="4" fillId="0" borderId="3" xfId="0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4" fillId="0" borderId="1" xfId="0" applyFont="1" applyBorder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0" borderId="1" xfId="0" applyBorder="1"/>
    <xf numFmtId="0" fontId="2" fillId="0" borderId="0" xfId="0" applyFont="1" applyBorder="1"/>
    <xf numFmtId="0" fontId="1" fillId="0" borderId="0" xfId="0" applyFont="1" applyBorder="1"/>
    <xf numFmtId="0" fontId="0" fillId="0" borderId="9" xfId="0" applyBorder="1"/>
    <xf numFmtId="0" fontId="0" fillId="0" borderId="10" xfId="0" applyBorder="1"/>
    <xf numFmtId="0" fontId="4" fillId="0" borderId="10" xfId="0" applyFont="1" applyBorder="1" applyAlignment="1"/>
    <xf numFmtId="0" fontId="0" fillId="0" borderId="11" xfId="0" applyBorder="1"/>
    <xf numFmtId="0" fontId="0" fillId="0" borderId="0" xfId="0" applyAlignment="1"/>
    <xf numFmtId="0" fontId="0" fillId="0" borderId="0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2" borderId="15" xfId="0" applyFont="1" applyFill="1" applyBorder="1"/>
    <xf numFmtId="0" fontId="0" fillId="2" borderId="15" xfId="0" applyFill="1" applyBorder="1"/>
    <xf numFmtId="0" fontId="0" fillId="4" borderId="15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0" fillId="6" borderId="15" xfId="0" applyFill="1" applyBorder="1"/>
    <xf numFmtId="0" fontId="0" fillId="6" borderId="15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3" borderId="0" xfId="0" applyFill="1" applyAlignment="1"/>
    <xf numFmtId="0" fontId="0" fillId="0" borderId="0" xfId="0" applyFill="1" applyBorder="1" applyAlignment="1"/>
    <xf numFmtId="0" fontId="0" fillId="0" borderId="0" xfId="0" applyFill="1" applyAlignment="1"/>
    <xf numFmtId="0" fontId="5" fillId="7" borderId="15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</xdr:colOff>
      <xdr:row>1</xdr:row>
      <xdr:rowOff>166687</xdr:rowOff>
    </xdr:from>
    <xdr:ext cx="2936894" cy="549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7162800" y="357187"/>
              <a:ext cx="2936894" cy="549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)</m:t>
                    </m:r>
                    <m:r>
                      <a:rPr lang="en-US" sz="16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,  </m:t>
                            </m:r>
                            <m:sSub>
                              <m:sSubPr>
                                <m:ctrlPr>
                                  <a:rPr lang="en-US" sz="16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n-US" sz="160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e>
                          <m:e>
                            <m:r>
                              <a:rPr lang="en-US" sz="1600" i="1">
                                <a:latin typeface="Cambria Math" panose="02040503050406030204" pitchFamily="18" charset="0"/>
                              </a:rPr>
                              <m:t>&amp;</m:t>
                            </m:r>
                            <m:sSub>
                              <m:sSubPr>
                                <m:ctrlPr>
                                  <a:rPr lang="en-US" sz="16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  <m:sub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US" sz="160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&gt;</m:t>
                            </m:r>
                            <m:r>
                              <a:rPr lang="en-US" sz="160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6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7162800" y="357187"/>
              <a:ext cx="2936894" cy="549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𝐶_𝑖 (𝑦_𝑖)</a:t>
              </a:r>
              <a:r>
                <a:rPr lang="en-US" sz="1600" i="0">
                  <a:latin typeface="Cambria Math" panose="02040503050406030204" pitchFamily="18" charset="0"/>
                </a:rPr>
                <a:t>={█(</a:t>
              </a:r>
              <a:r>
                <a:rPr lang="en-US" sz="1600" b="0" i="0">
                  <a:latin typeface="Cambria Math" panose="02040503050406030204" pitchFamily="18" charset="0"/>
                </a:rPr>
                <a:t>0,  𝑦_𝑖=</a:t>
              </a:r>
              <a:r>
                <a:rPr lang="en-US" sz="1600" i="0">
                  <a:latin typeface="Cambria Math" panose="02040503050406030204" pitchFamily="18" charset="0"/>
                </a:rPr>
                <a:t>0@&amp;</a:t>
              </a:r>
              <a:r>
                <a:rPr lang="en-US" sz="1600" b="0" i="0">
                  <a:latin typeface="Cambria Math" panose="02040503050406030204" pitchFamily="18" charset="0"/>
                </a:rPr>
                <a:t>𝑘_𝑖+𝐶_𝑖 (𝑦_𝑖 ),</a:t>
              </a:r>
              <a:r>
                <a:rPr lang="en-US" sz="1600" i="0">
                  <a:latin typeface="Cambria Math" panose="02040503050406030204" pitchFamily="18" charset="0"/>
                </a:rPr>
                <a:t> </a:t>
              </a:r>
              <a:r>
                <a:rPr lang="en-US" sz="1600" b="0" i="0">
                  <a:latin typeface="Cambria Math" panose="02040503050406030204" pitchFamily="18" charset="0"/>
                </a:rPr>
                <a:t> 𝑦_𝑖&gt;</a:t>
              </a:r>
              <a:r>
                <a:rPr lang="en-US" sz="1600" i="0">
                  <a:latin typeface="Cambria Math" panose="02040503050406030204" pitchFamily="18" charset="0"/>
                </a:rPr>
                <a:t>0)┤</a:t>
              </a:r>
              <a:endParaRPr lang="ru-RU" sz="1600"/>
            </a:p>
          </xdr:txBody>
        </xdr:sp>
      </mc:Fallback>
    </mc:AlternateContent>
    <xdr:clientData/>
  </xdr:oneCellAnchor>
  <xdr:oneCellAnchor>
    <xdr:from>
      <xdr:col>15</xdr:col>
      <xdr:colOff>161925</xdr:colOff>
      <xdr:row>1</xdr:row>
      <xdr:rowOff>161925</xdr:rowOff>
    </xdr:from>
    <xdr:ext cx="3393493" cy="549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10915650" y="352425"/>
              <a:ext cx="3393493" cy="549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)</m:t>
                    </m:r>
                    <m:r>
                      <a:rPr lang="en-US" sz="16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"/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60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, </m:t>
                            </m:r>
                            <m:r>
                              <a:rPr lang="en-US" sz="160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sSub>
                              <m:sSubPr>
                                <m:ctrlPr>
                                  <a:rPr lang="en-US" sz="16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≤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≤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e>
                          <m:e>
                            <m:r>
                              <a:rPr lang="en-US" sz="1600" i="1">
                                <a:latin typeface="Cambria Math" panose="02040503050406030204" pitchFamily="18" charset="0"/>
                              </a:rPr>
                              <m:t>&amp;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30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20</m:t>
                            </m:r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  <m:sub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e>
                            </m:d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US" sz="160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≥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6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10915650" y="352425"/>
              <a:ext cx="3393493" cy="549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𝐶_𝑖 (𝑦_𝑖)</a:t>
              </a:r>
              <a:r>
                <a:rPr lang="en-US" sz="1600" i="0">
                  <a:latin typeface="Cambria Math" panose="02040503050406030204" pitchFamily="18" charset="0"/>
                </a:rPr>
                <a:t>={█(</a:t>
              </a:r>
              <a:r>
                <a:rPr lang="en-US" sz="1600" b="0" i="0">
                  <a:latin typeface="Cambria Math" panose="02040503050406030204" pitchFamily="18" charset="0"/>
                </a:rPr>
                <a:t>10𝑦_𝑖, </a:t>
              </a:r>
              <a:r>
                <a:rPr lang="en-US" sz="1600" i="0">
                  <a:latin typeface="Cambria Math" panose="02040503050406030204" pitchFamily="18" charset="0"/>
                </a:rPr>
                <a:t> 〖</a:t>
              </a:r>
              <a:r>
                <a:rPr lang="en-US" sz="1600" b="0" i="0">
                  <a:latin typeface="Cambria Math" panose="02040503050406030204" pitchFamily="18" charset="0"/>
                </a:rPr>
                <a:t>0≤𝑦〗_𝑖≤3@</a:t>
              </a:r>
              <a:r>
                <a:rPr lang="en-US" sz="1600" i="0">
                  <a:latin typeface="Cambria Math" panose="02040503050406030204" pitchFamily="18" charset="0"/>
                </a:rPr>
                <a:t>&amp;</a:t>
              </a:r>
              <a:r>
                <a:rPr lang="en-US" sz="1600" b="0" i="0">
                  <a:latin typeface="Cambria Math" panose="02040503050406030204" pitchFamily="18" charset="0"/>
                </a:rPr>
                <a:t>30+20(𝑦_𝑖−3),</a:t>
              </a:r>
              <a:r>
                <a:rPr lang="en-US" sz="1600" i="0">
                  <a:latin typeface="Cambria Math" panose="02040503050406030204" pitchFamily="18" charset="0"/>
                </a:rPr>
                <a:t> </a:t>
              </a:r>
              <a:r>
                <a:rPr lang="en-US" sz="1600" b="0" i="0">
                  <a:latin typeface="Cambria Math" panose="02040503050406030204" pitchFamily="18" charset="0"/>
                </a:rPr>
                <a:t> 𝑦_𝑖≥4)┤</a:t>
              </a:r>
              <a:endParaRPr lang="ru-RU" sz="1600"/>
            </a:p>
          </xdr:txBody>
        </xdr:sp>
      </mc:Fallback>
    </mc:AlternateContent>
    <xdr:clientData/>
  </xdr:oneCellAnchor>
  <xdr:oneCellAnchor>
    <xdr:from>
      <xdr:col>9</xdr:col>
      <xdr:colOff>104775</xdr:colOff>
      <xdr:row>7</xdr:row>
      <xdr:rowOff>61912</xdr:rowOff>
    </xdr:from>
    <xdr:ext cx="4169090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10353675" y="61912"/>
              <a:ext cx="416909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d>
                      <m:d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600" b="0" i="0">
                            <a:latin typeface="Cambria Math" panose="02040503050406030204" pitchFamily="18" charset="0"/>
                          </a:rPr>
                          <m:t>min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  <m:sub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</m:e>
                    </m:func>
                    <m:r>
                      <a:rPr lang="en-US" sz="16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0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≤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≤</m:t>
                    </m:r>
                    <m:sSub>
                      <m:sSubPr>
                        <m:ctrlPr>
                          <a:rPr lang="el-GR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600" b="0" i="1">
                            <a:latin typeface="Cambria Math" panose="02040503050406030204" pitchFamily="18" charset="0"/>
                          </a:rPr>
                          <m:t>β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600" b="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10353675" y="61912"/>
              <a:ext cx="416909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𝑓</a:t>
              </a:r>
              <a:r>
                <a:rPr lang="ru-RU" sz="1600" b="0" i="0">
                  <a:latin typeface="Cambria Math" panose="02040503050406030204" pitchFamily="18" charset="0"/>
                </a:rPr>
                <a:t>_</a:t>
              </a:r>
              <a:r>
                <a:rPr lang="en-US" sz="1600" b="0" i="0">
                  <a:latin typeface="Cambria Math" panose="02040503050406030204" pitchFamily="18" charset="0"/>
                </a:rPr>
                <a:t>1 (𝑥_2 )=min⁡{𝑐_1 (𝑦_1 )+ℎ_1 𝑥_2 }, 0≤𝑦_1≤</a:t>
              </a:r>
              <a:r>
                <a:rPr lang="el-GR" sz="1600" b="0" i="0">
                  <a:latin typeface="Cambria Math" panose="02040503050406030204" pitchFamily="18" charset="0"/>
                </a:rPr>
                <a:t>β_</a:t>
              </a:r>
              <a:r>
                <a:rPr lang="en-US" sz="1600" b="0" i="0">
                  <a:latin typeface="Cambria Math" panose="02040503050406030204" pitchFamily="18" charset="0"/>
                </a:rPr>
                <a:t>1+𝑥_2</a:t>
              </a:r>
              <a:endParaRPr lang="en-US" sz="1600" b="0"/>
            </a:p>
          </xdr:txBody>
        </xdr:sp>
      </mc:Fallback>
    </mc:AlternateContent>
    <xdr:clientData/>
  </xdr:oneCellAnchor>
  <xdr:oneCellAnchor>
    <xdr:from>
      <xdr:col>9</xdr:col>
      <xdr:colOff>114300</xdr:colOff>
      <xdr:row>9</xdr:row>
      <xdr:rowOff>90487</xdr:rowOff>
    </xdr:from>
    <xdr:ext cx="7219477" cy="2573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/>
            <xdr:cNvSpPr txBox="1"/>
          </xdr:nvSpPr>
          <xdr:spPr>
            <a:xfrm>
              <a:off x="10363200" y="471487"/>
              <a:ext cx="7219477" cy="2573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6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d>
                      <m:d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600" b="0" i="0">
                            <a:latin typeface="Cambria Math" panose="02040503050406030204" pitchFamily="18" charset="0"/>
                          </a:rPr>
                          <m:t>min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𝑐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  <m:sub>
                                    <m:r>
                                      <a:rPr lang="en-US" sz="16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</m:e>
                            </m:d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𝑓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l-GR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l-GR" sz="1600" b="0" i="1">
                                    <a:latin typeface="Cambria Math" panose="02040503050406030204" pitchFamily="18" charset="0"/>
                                  </a:rPr>
                                  <m:t>β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</m:d>
                      </m:e>
                    </m:func>
                    <m:r>
                      <a:rPr lang="en-US" sz="1600" b="0" i="1">
                        <a:latin typeface="Cambria Math" panose="02040503050406030204" pitchFamily="18" charset="0"/>
                      </a:rPr>
                      <m:t>, 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0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≤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≤</m:t>
                    </m:r>
                    <m:sSub>
                      <m:sSubPr>
                        <m:ctrlPr>
                          <a:rPr lang="el-GR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600" b="0" i="1">
                            <a:latin typeface="Cambria Math" panose="02040503050406030204" pitchFamily="18" charset="0"/>
                          </a:rPr>
                          <m:t>β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,</m:t>
                        </m:r>
                      </m:sub>
                    </m:sSub>
                    <m:r>
                      <a:rPr lang="en-US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𝑖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1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𝑛</m:t>
                    </m:r>
                  </m:oMath>
                </m:oMathPara>
              </a14:m>
              <a:endParaRPr lang="en-US" sz="1600" b="0"/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>
              <a:off x="10363200" y="471487"/>
              <a:ext cx="7219477" cy="2573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𝑓</a:t>
              </a:r>
              <a:r>
                <a:rPr lang="ru-RU" sz="1600" b="0" i="0">
                  <a:latin typeface="Cambria Math" panose="02040503050406030204" pitchFamily="18" charset="0"/>
                </a:rPr>
                <a:t>_</a:t>
              </a:r>
              <a:r>
                <a:rPr lang="en-US" sz="1600" b="0" i="0">
                  <a:latin typeface="Cambria Math" panose="02040503050406030204" pitchFamily="18" charset="0"/>
                </a:rPr>
                <a:t>𝑖 (𝑥_(𝑖+1) )=min⁡{𝑐_𝑖 (𝑦_𝑖 )+ℎ_𝑖 𝑥_(𝑖+1)+𝑓_(𝑖−1) (𝑥_(𝑖+1)+</a:t>
              </a:r>
              <a:r>
                <a:rPr lang="el-GR" sz="1600" b="0" i="0">
                  <a:latin typeface="Cambria Math" panose="02040503050406030204" pitchFamily="18" charset="0"/>
                </a:rPr>
                <a:t>β_</a:t>
              </a:r>
              <a:r>
                <a:rPr lang="en-US" sz="1600" b="0" i="0">
                  <a:latin typeface="Cambria Math" panose="02040503050406030204" pitchFamily="18" charset="0"/>
                </a:rPr>
                <a:t>𝑖−𝑦_𝑖)}, 0≤𝑦_𝑖≤</a:t>
              </a:r>
              <a:r>
                <a:rPr lang="el-GR" sz="1600" b="0" i="0">
                  <a:latin typeface="Cambria Math" panose="02040503050406030204" pitchFamily="18" charset="0"/>
                </a:rPr>
                <a:t>β_</a:t>
              </a:r>
              <a:r>
                <a:rPr lang="en-US" sz="1600" b="0" i="0">
                  <a:latin typeface="Cambria Math" panose="02040503050406030204" pitchFamily="18" charset="0"/>
                </a:rPr>
                <a:t>𝑖+𝑥_(𝑖+1,)  𝑖=1,𝑛</a:t>
              </a:r>
              <a:endParaRPr lang="en-US" sz="1600" b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63"/>
  <sheetViews>
    <sheetView tabSelected="1" topLeftCell="A11" zoomScaleNormal="100" workbookViewId="0">
      <selection activeCell="O39" sqref="O39"/>
    </sheetView>
  </sheetViews>
  <sheetFormatPr defaultRowHeight="15" x14ac:dyDescent="0.25"/>
  <cols>
    <col min="2" max="2" width="10.140625" customWidth="1"/>
    <col min="3" max="3" width="10.7109375" customWidth="1"/>
    <col min="4" max="4" width="11.7109375" customWidth="1"/>
    <col min="5" max="5" width="10.7109375" customWidth="1"/>
    <col min="7" max="7" width="12.85546875" customWidth="1"/>
    <col min="8" max="8" width="11.42578125" customWidth="1"/>
    <col min="16" max="16" width="12.85546875" customWidth="1"/>
    <col min="18" max="18" width="16.140625" customWidth="1"/>
    <col min="19" max="19" width="19" customWidth="1"/>
    <col min="20" max="20" width="16" customWidth="1"/>
    <col min="27" max="27" width="14.28515625" bestFit="1" customWidth="1"/>
  </cols>
  <sheetData>
    <row r="2" spans="2:23" x14ac:dyDescent="0.25">
      <c r="B2" s="38" t="s">
        <v>0</v>
      </c>
      <c r="C2" s="38" t="s">
        <v>1</v>
      </c>
      <c r="D2" s="39" t="s">
        <v>3</v>
      </c>
      <c r="E2" s="38" t="s">
        <v>2</v>
      </c>
      <c r="G2" s="40" t="s">
        <v>75</v>
      </c>
      <c r="H2" s="40">
        <v>1</v>
      </c>
      <c r="J2" s="44"/>
      <c r="K2" s="44"/>
      <c r="L2" s="44"/>
      <c r="M2" s="44"/>
      <c r="N2" s="44"/>
      <c r="O2" s="45"/>
      <c r="P2" s="49"/>
      <c r="Q2" s="49"/>
      <c r="R2" s="49"/>
      <c r="S2" s="49"/>
      <c r="T2" s="46"/>
      <c r="U2" s="46"/>
      <c r="V2" s="46"/>
    </row>
    <row r="3" spans="2:23" x14ac:dyDescent="0.25">
      <c r="B3" s="38">
        <v>1</v>
      </c>
      <c r="C3" s="38">
        <v>3</v>
      </c>
      <c r="D3" s="38">
        <v>3</v>
      </c>
      <c r="E3" s="38">
        <v>1</v>
      </c>
      <c r="J3" s="44"/>
      <c r="K3" s="44"/>
      <c r="L3" s="44"/>
      <c r="M3" s="44"/>
      <c r="N3" s="44"/>
      <c r="O3" s="45"/>
      <c r="P3" s="49"/>
      <c r="Q3" s="49"/>
      <c r="R3" s="49"/>
      <c r="S3" s="49"/>
      <c r="T3" s="46"/>
      <c r="U3" s="46"/>
      <c r="V3" s="46"/>
    </row>
    <row r="4" spans="2:23" x14ac:dyDescent="0.25">
      <c r="B4" s="38">
        <v>2</v>
      </c>
      <c r="C4" s="38">
        <v>2</v>
      </c>
      <c r="D4" s="38">
        <v>7</v>
      </c>
      <c r="E4" s="38">
        <v>3</v>
      </c>
      <c r="J4" s="44"/>
      <c r="K4" s="44"/>
      <c r="L4" s="44"/>
      <c r="M4" s="44"/>
      <c r="N4" s="44"/>
      <c r="O4" s="45"/>
      <c r="P4" s="49"/>
      <c r="Q4" s="49"/>
      <c r="R4" s="49"/>
      <c r="S4" s="49"/>
      <c r="T4" s="46"/>
      <c r="U4" s="46"/>
      <c r="V4" s="46"/>
    </row>
    <row r="5" spans="2:23" x14ac:dyDescent="0.25">
      <c r="B5" s="38">
        <v>3</v>
      </c>
      <c r="C5" s="38">
        <v>4</v>
      </c>
      <c r="D5" s="38">
        <v>6</v>
      </c>
      <c r="E5" s="38">
        <v>2</v>
      </c>
      <c r="J5" s="44"/>
      <c r="K5" s="44"/>
      <c r="L5" s="44"/>
      <c r="M5" s="44"/>
      <c r="N5" s="44"/>
      <c r="O5" s="45"/>
      <c r="P5" s="49"/>
      <c r="Q5" s="49"/>
      <c r="R5" s="49"/>
      <c r="S5" s="49"/>
      <c r="T5" s="46"/>
      <c r="U5" s="46"/>
      <c r="V5" s="46"/>
    </row>
    <row r="6" spans="2:23" x14ac:dyDescent="0.25">
      <c r="J6" s="44"/>
      <c r="K6" s="44"/>
      <c r="L6" s="44"/>
      <c r="M6" s="44"/>
      <c r="N6" s="44"/>
      <c r="O6" s="45"/>
      <c r="P6" s="49"/>
      <c r="Q6" s="49"/>
      <c r="R6" s="49"/>
      <c r="S6" s="49"/>
      <c r="T6" s="46"/>
      <c r="U6" s="46"/>
      <c r="V6" s="46"/>
    </row>
    <row r="7" spans="2:23" ht="18.75" x14ac:dyDescent="0.3">
      <c r="B7" s="51" t="s">
        <v>76</v>
      </c>
      <c r="C7" s="51"/>
      <c r="D7" s="51"/>
      <c r="E7" s="51"/>
      <c r="F7" s="3"/>
      <c r="J7" s="46"/>
      <c r="K7" s="46"/>
      <c r="L7" s="46"/>
      <c r="M7" s="46"/>
      <c r="N7" s="45"/>
      <c r="O7" s="45"/>
      <c r="P7" s="46"/>
      <c r="Q7" s="46"/>
      <c r="R7" s="46"/>
      <c r="S7" s="46"/>
      <c r="T7" s="46"/>
      <c r="U7" s="46"/>
      <c r="V7" s="46"/>
    </row>
    <row r="8" spans="2:23" x14ac:dyDescent="0.25">
      <c r="B8" s="34" t="s">
        <v>4</v>
      </c>
      <c r="C8" s="35" t="s">
        <v>5</v>
      </c>
      <c r="D8" s="35" t="s">
        <v>6</v>
      </c>
      <c r="E8" s="35" t="s">
        <v>7</v>
      </c>
      <c r="J8" s="50"/>
      <c r="K8" s="50"/>
      <c r="L8" s="50"/>
      <c r="M8" s="50"/>
      <c r="N8" s="50"/>
      <c r="O8" s="50"/>
      <c r="P8" s="50"/>
      <c r="Q8" s="50"/>
      <c r="R8" s="50"/>
      <c r="S8" s="50"/>
      <c r="U8" s="46"/>
      <c r="V8" s="46"/>
      <c r="W8" s="46"/>
    </row>
    <row r="9" spans="2:23" x14ac:dyDescent="0.25">
      <c r="B9" s="35">
        <v>0</v>
      </c>
      <c r="C9" s="35">
        <f>IF($B9=0,0,C$3 + IF($B9&lt;=3,10*$B9,30+20*($B9-3)))</f>
        <v>0</v>
      </c>
      <c r="D9" s="35">
        <f>IF($B9=0,0,C$4 + IF($B9&lt;=3,10*$B9,30+20*($B9-3)))</f>
        <v>0</v>
      </c>
      <c r="E9" s="35">
        <f>IF($B9=0,0,C$5 + IF($B9&lt;=3,10*$B9,30+20*($B9-3)))</f>
        <v>0</v>
      </c>
      <c r="J9" s="50"/>
      <c r="K9" s="50"/>
      <c r="L9" s="50"/>
      <c r="M9" s="50"/>
      <c r="N9" s="50"/>
      <c r="O9" s="50"/>
      <c r="P9" s="50"/>
      <c r="Q9" s="50"/>
      <c r="R9" s="50"/>
      <c r="S9" s="50"/>
      <c r="U9" s="46"/>
      <c r="V9" s="46"/>
      <c r="W9" s="46"/>
    </row>
    <row r="10" spans="2:23" x14ac:dyDescent="0.25">
      <c r="B10" s="35">
        <v>1</v>
      </c>
      <c r="C10" s="35">
        <f t="shared" ref="C10:C18" si="0">IF($B10=0,0,C$3 + IF($B10&lt;=3,10*$B10,30+20*($B10-3)))</f>
        <v>13</v>
      </c>
      <c r="D10" s="35">
        <f t="shared" ref="D10:D18" si="1">IF($B10=0,0,C$4 + IF($B10&lt;=3,10*$B10,30+20*($B10-3)))</f>
        <v>12</v>
      </c>
      <c r="E10" s="35">
        <f t="shared" ref="E10:E18" si="2">IF($B10=0,0,C$5 + IF($B10&lt;=3,10*$B10,30+20*($B10-3)))</f>
        <v>14</v>
      </c>
      <c r="J10" s="50"/>
      <c r="K10" s="50"/>
      <c r="L10" s="50"/>
      <c r="M10" s="50"/>
      <c r="N10" s="50"/>
      <c r="O10" s="50"/>
      <c r="P10" s="50"/>
      <c r="Q10" s="50"/>
      <c r="R10" s="50"/>
      <c r="S10" s="50"/>
      <c r="U10" s="46"/>
      <c r="V10" s="46"/>
      <c r="W10" s="46"/>
    </row>
    <row r="11" spans="2:23" x14ac:dyDescent="0.25">
      <c r="B11" s="35">
        <v>2</v>
      </c>
      <c r="C11" s="35">
        <f t="shared" si="0"/>
        <v>23</v>
      </c>
      <c r="D11" s="35">
        <f t="shared" si="1"/>
        <v>22</v>
      </c>
      <c r="E11" s="35">
        <f t="shared" si="2"/>
        <v>24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U11" s="46"/>
      <c r="V11" s="46"/>
      <c r="W11" s="46"/>
    </row>
    <row r="12" spans="2:23" x14ac:dyDescent="0.25">
      <c r="B12" s="35">
        <v>3</v>
      </c>
      <c r="C12" s="35">
        <f t="shared" si="0"/>
        <v>33</v>
      </c>
      <c r="D12" s="35">
        <f t="shared" si="1"/>
        <v>32</v>
      </c>
      <c r="E12" s="35">
        <f t="shared" si="2"/>
        <v>34</v>
      </c>
      <c r="J12" s="50"/>
      <c r="K12" s="50"/>
      <c r="L12" s="50"/>
      <c r="M12" s="50"/>
      <c r="N12" s="50"/>
      <c r="O12" s="50"/>
      <c r="P12" s="50"/>
      <c r="Q12" s="50"/>
      <c r="R12" s="50"/>
      <c r="S12" s="50"/>
      <c r="U12" s="46"/>
      <c r="V12" s="46"/>
      <c r="W12" s="46"/>
    </row>
    <row r="13" spans="2:23" x14ac:dyDescent="0.25">
      <c r="B13" s="35">
        <v>4</v>
      </c>
      <c r="C13" s="35">
        <f t="shared" si="0"/>
        <v>53</v>
      </c>
      <c r="D13" s="35">
        <f t="shared" si="1"/>
        <v>52</v>
      </c>
      <c r="E13" s="35">
        <f t="shared" si="2"/>
        <v>54</v>
      </c>
    </row>
    <row r="14" spans="2:23" x14ac:dyDescent="0.25">
      <c r="B14" s="35">
        <v>5</v>
      </c>
      <c r="C14" s="35">
        <f t="shared" si="0"/>
        <v>73</v>
      </c>
      <c r="D14" s="35">
        <f t="shared" si="1"/>
        <v>72</v>
      </c>
      <c r="E14" s="35">
        <f t="shared" si="2"/>
        <v>74</v>
      </c>
    </row>
    <row r="15" spans="2:23" x14ac:dyDescent="0.25">
      <c r="B15" s="35">
        <v>6</v>
      </c>
      <c r="C15" s="35">
        <f t="shared" si="0"/>
        <v>93</v>
      </c>
      <c r="D15" s="35">
        <f t="shared" si="1"/>
        <v>92</v>
      </c>
      <c r="E15" s="35">
        <f t="shared" si="2"/>
        <v>94</v>
      </c>
    </row>
    <row r="16" spans="2:23" x14ac:dyDescent="0.25">
      <c r="B16" s="35">
        <v>7</v>
      </c>
      <c r="C16" s="35">
        <f t="shared" si="0"/>
        <v>113</v>
      </c>
      <c r="D16" s="35">
        <f t="shared" si="1"/>
        <v>112</v>
      </c>
      <c r="E16" s="35">
        <f t="shared" si="2"/>
        <v>114</v>
      </c>
    </row>
    <row r="17" spans="2:9" x14ac:dyDescent="0.25">
      <c r="B17" s="35">
        <v>8</v>
      </c>
      <c r="C17" s="35">
        <f t="shared" si="0"/>
        <v>133</v>
      </c>
      <c r="D17" s="35">
        <f t="shared" si="1"/>
        <v>132</v>
      </c>
      <c r="E17" s="35">
        <f t="shared" si="2"/>
        <v>134</v>
      </c>
    </row>
    <row r="18" spans="2:9" x14ac:dyDescent="0.25">
      <c r="B18" s="35">
        <v>9</v>
      </c>
      <c r="C18" s="35">
        <f t="shared" si="0"/>
        <v>153</v>
      </c>
      <c r="D18" s="35">
        <f t="shared" si="1"/>
        <v>152</v>
      </c>
      <c r="E18" s="35">
        <f t="shared" si="2"/>
        <v>154</v>
      </c>
    </row>
    <row r="19" spans="2:9" x14ac:dyDescent="0.25">
      <c r="G19" s="41" t="s">
        <v>11</v>
      </c>
      <c r="H19" s="41" t="s">
        <v>18</v>
      </c>
      <c r="I19" s="41" t="s">
        <v>74</v>
      </c>
    </row>
    <row r="20" spans="2:9" ht="18.75" x14ac:dyDescent="0.3">
      <c r="B20" s="52" t="s">
        <v>77</v>
      </c>
      <c r="C20" s="52"/>
      <c r="D20" s="52"/>
      <c r="E20" s="52"/>
      <c r="G20" s="41">
        <v>0</v>
      </c>
      <c r="H20" s="41">
        <f>MIN(H29:H33)</f>
        <v>69</v>
      </c>
      <c r="I20" s="41">
        <v>1</v>
      </c>
    </row>
    <row r="21" spans="2:9" x14ac:dyDescent="0.25">
      <c r="B21" s="36" t="s">
        <v>8</v>
      </c>
      <c r="C21" s="36" t="s">
        <v>9</v>
      </c>
      <c r="D21" s="36" t="s">
        <v>13</v>
      </c>
      <c r="E21" s="36" t="s">
        <v>10</v>
      </c>
      <c r="G21" s="41">
        <v>1</v>
      </c>
      <c r="H21" s="41">
        <f>MIN(H34:H38)</f>
        <v>59</v>
      </c>
      <c r="I21" s="41">
        <v>1</v>
      </c>
    </row>
    <row r="22" spans="2:9" x14ac:dyDescent="0.25">
      <c r="B22" s="36">
        <v>0</v>
      </c>
      <c r="C22" s="36">
        <f>$C$5-B22</f>
        <v>4</v>
      </c>
      <c r="D22" s="36">
        <f>VLOOKUP(C22, $B$9:$E$18, 4, 0)</f>
        <v>54</v>
      </c>
      <c r="E22" s="36">
        <f>D22</f>
        <v>54</v>
      </c>
      <c r="G22" s="41">
        <v>2</v>
      </c>
      <c r="H22" s="41">
        <f>MIN(H39:H43)</f>
        <v>49</v>
      </c>
      <c r="I22" s="41">
        <v>0</v>
      </c>
    </row>
    <row r="23" spans="2:9" x14ac:dyDescent="0.25">
      <c r="B23" s="36">
        <v>1</v>
      </c>
      <c r="C23" s="36">
        <f t="shared" ref="C23:C26" si="3">$C$5-B23</f>
        <v>3</v>
      </c>
      <c r="D23" s="36">
        <f>VLOOKUP(C23, $B$9:$E$18, 4, 0)</f>
        <v>34</v>
      </c>
      <c r="E23" s="36">
        <f>D23</f>
        <v>34</v>
      </c>
      <c r="G23" s="41">
        <v>3</v>
      </c>
      <c r="H23" s="41">
        <f>MIN(H44:H48)</f>
        <v>37</v>
      </c>
      <c r="I23" s="41">
        <v>1</v>
      </c>
    </row>
    <row r="24" spans="2:9" x14ac:dyDescent="0.25">
      <c r="B24" s="36">
        <v>2</v>
      </c>
      <c r="C24" s="36">
        <f t="shared" si="3"/>
        <v>2</v>
      </c>
      <c r="D24" s="36">
        <f>VLOOKUP(C24, $B$9:$E$18, 4, 0)</f>
        <v>24</v>
      </c>
      <c r="E24" s="36">
        <f>D24</f>
        <v>24</v>
      </c>
      <c r="G24" s="41">
        <v>4</v>
      </c>
      <c r="H24" s="41">
        <f>MIN(H49:H53)</f>
        <v>30</v>
      </c>
      <c r="I24" s="41">
        <v>2</v>
      </c>
    </row>
    <row r="25" spans="2:9" x14ac:dyDescent="0.25">
      <c r="B25" s="36">
        <v>3</v>
      </c>
      <c r="C25" s="36">
        <f t="shared" si="3"/>
        <v>1</v>
      </c>
      <c r="D25" s="36">
        <f>VLOOKUP(C25, $B$9:$E$18, 4, 0)</f>
        <v>14</v>
      </c>
      <c r="E25" s="36">
        <f>D25</f>
        <v>14</v>
      </c>
      <c r="G25" s="41">
        <v>5</v>
      </c>
      <c r="H25" s="41">
        <f>MIN(H54:H58)</f>
        <v>23</v>
      </c>
      <c r="I25" s="41">
        <v>3</v>
      </c>
    </row>
    <row r="26" spans="2:9" x14ac:dyDescent="0.25">
      <c r="B26" s="36">
        <v>4</v>
      </c>
      <c r="C26" s="36">
        <f t="shared" si="3"/>
        <v>0</v>
      </c>
      <c r="D26" s="36">
        <f>VLOOKUP(C26, $B$9:$E$18, 4, 0)</f>
        <v>0</v>
      </c>
      <c r="E26" s="36">
        <f>D26</f>
        <v>0</v>
      </c>
      <c r="G26" s="41">
        <v>6</v>
      </c>
      <c r="H26" s="41">
        <f>MIN(H59:H63)</f>
        <v>12</v>
      </c>
      <c r="I26" s="41">
        <v>4</v>
      </c>
    </row>
    <row r="27" spans="2:9" ht="18.75" x14ac:dyDescent="0.3">
      <c r="B27" s="73" t="s">
        <v>78</v>
      </c>
      <c r="C27" s="74"/>
      <c r="D27" s="74"/>
      <c r="E27" s="74"/>
      <c r="F27" s="74"/>
      <c r="G27" s="74"/>
      <c r="H27" s="75"/>
    </row>
    <row r="28" spans="2:9" x14ac:dyDescent="0.25">
      <c r="B28" s="37" t="s">
        <v>11</v>
      </c>
      <c r="C28" s="37" t="s">
        <v>8</v>
      </c>
      <c r="D28" s="37" t="s">
        <v>12</v>
      </c>
      <c r="E28" s="37" t="s">
        <v>14</v>
      </c>
      <c r="F28" s="37" t="s">
        <v>15</v>
      </c>
      <c r="G28" s="37" t="s">
        <v>16</v>
      </c>
      <c r="H28" s="37" t="s">
        <v>17</v>
      </c>
    </row>
    <row r="29" spans="2:9" x14ac:dyDescent="0.25">
      <c r="B29" s="37">
        <v>0</v>
      </c>
      <c r="C29" s="37">
        <v>0</v>
      </c>
      <c r="D29" s="37">
        <f t="shared" ref="D29:D63" si="4">MAX(0,$C$4+C29-B29)</f>
        <v>2</v>
      </c>
      <c r="E29" s="37">
        <f t="shared" ref="E29:E63" si="5">VLOOKUP(D29, $B$9:$E$18, 3, 0)</f>
        <v>22</v>
      </c>
      <c r="F29" s="37">
        <f>$E$4*C29</f>
        <v>0</v>
      </c>
      <c r="G29" s="37">
        <f>VLOOKUP(C29, $B$22:$E$26, 4, 0)</f>
        <v>54</v>
      </c>
      <c r="H29" s="37">
        <f>E29+F29+G29</f>
        <v>76</v>
      </c>
    </row>
    <row r="30" spans="2:9" x14ac:dyDescent="0.25">
      <c r="B30" s="37">
        <v>0</v>
      </c>
      <c r="C30" s="37">
        <v>1</v>
      </c>
      <c r="D30" s="37">
        <f t="shared" si="4"/>
        <v>3</v>
      </c>
      <c r="E30" s="37">
        <f t="shared" si="5"/>
        <v>32</v>
      </c>
      <c r="F30" s="37">
        <f t="shared" ref="F30:F63" si="6">$E$4*C30</f>
        <v>3</v>
      </c>
      <c r="G30" s="37">
        <f>VLOOKUP(C30, $B$22:$E$26, 4, 0)</f>
        <v>34</v>
      </c>
      <c r="H30" s="37">
        <f>E30+F30+G30</f>
        <v>69</v>
      </c>
    </row>
    <row r="31" spans="2:9" x14ac:dyDescent="0.25">
      <c r="B31" s="37">
        <v>0</v>
      </c>
      <c r="C31" s="37">
        <v>2</v>
      </c>
      <c r="D31" s="37">
        <f t="shared" si="4"/>
        <v>4</v>
      </c>
      <c r="E31" s="37">
        <f t="shared" si="5"/>
        <v>52</v>
      </c>
      <c r="F31" s="37">
        <f t="shared" si="6"/>
        <v>6</v>
      </c>
      <c r="G31" s="37">
        <f>VLOOKUP(C31, $B$22:$E$26, 4, 0)</f>
        <v>24</v>
      </c>
      <c r="H31" s="37">
        <f>E31+F31+G31</f>
        <v>82</v>
      </c>
    </row>
    <row r="32" spans="2:9" x14ac:dyDescent="0.25">
      <c r="B32" s="37">
        <v>0</v>
      </c>
      <c r="C32" s="37">
        <v>3</v>
      </c>
      <c r="D32" s="37">
        <f t="shared" si="4"/>
        <v>5</v>
      </c>
      <c r="E32" s="37">
        <f t="shared" si="5"/>
        <v>72</v>
      </c>
      <c r="F32" s="37">
        <f t="shared" si="6"/>
        <v>9</v>
      </c>
      <c r="G32" s="37">
        <f>VLOOKUP(C32, $B$22:$E$26, 4, 0)</f>
        <v>14</v>
      </c>
      <c r="H32" s="37">
        <f>E32+F32+G32</f>
        <v>95</v>
      </c>
    </row>
    <row r="33" spans="2:22" x14ac:dyDescent="0.25">
      <c r="B33" s="37">
        <v>0</v>
      </c>
      <c r="C33" s="37">
        <v>4</v>
      </c>
      <c r="D33" s="37">
        <f t="shared" si="4"/>
        <v>6</v>
      </c>
      <c r="E33" s="37">
        <f t="shared" si="5"/>
        <v>92</v>
      </c>
      <c r="F33" s="37">
        <f t="shared" si="6"/>
        <v>12</v>
      </c>
      <c r="G33" s="37">
        <f>VLOOKUP(C33, $B$22:$E$26, 4, 0)</f>
        <v>0</v>
      </c>
      <c r="H33" s="37">
        <f>E33+F33+G33</f>
        <v>104</v>
      </c>
    </row>
    <row r="34" spans="2:22" x14ac:dyDescent="0.25">
      <c r="B34" s="37">
        <v>1</v>
      </c>
      <c r="C34" s="37">
        <v>0</v>
      </c>
      <c r="D34" s="37">
        <f t="shared" si="4"/>
        <v>1</v>
      </c>
      <c r="E34" s="37">
        <f t="shared" si="5"/>
        <v>12</v>
      </c>
      <c r="F34" s="37">
        <f t="shared" si="6"/>
        <v>0</v>
      </c>
      <c r="G34" s="37">
        <f>VLOOKUP(C34, $B$22:$E$26, 4, 0)</f>
        <v>54</v>
      </c>
      <c r="H34" s="37">
        <f>E34+F34+G34</f>
        <v>66</v>
      </c>
    </row>
    <row r="35" spans="2:22" x14ac:dyDescent="0.25">
      <c r="B35" s="37">
        <v>1</v>
      </c>
      <c r="C35" s="37">
        <v>1</v>
      </c>
      <c r="D35" s="37">
        <f t="shared" si="4"/>
        <v>2</v>
      </c>
      <c r="E35" s="37">
        <f t="shared" si="5"/>
        <v>22</v>
      </c>
      <c r="F35" s="37">
        <f t="shared" si="6"/>
        <v>3</v>
      </c>
      <c r="G35" s="37">
        <f>VLOOKUP(C35, $B$22:$E$26, 4, 0)</f>
        <v>34</v>
      </c>
      <c r="H35" s="37">
        <f>E35+F35+G35</f>
        <v>59</v>
      </c>
    </row>
    <row r="36" spans="2:22" x14ac:dyDescent="0.25">
      <c r="B36" s="37">
        <v>1</v>
      </c>
      <c r="C36" s="37">
        <v>2</v>
      </c>
      <c r="D36" s="37">
        <f t="shared" si="4"/>
        <v>3</v>
      </c>
      <c r="E36" s="37">
        <f t="shared" si="5"/>
        <v>32</v>
      </c>
      <c r="F36" s="37">
        <f t="shared" si="6"/>
        <v>6</v>
      </c>
      <c r="G36" s="37">
        <f>VLOOKUP(C36, $B$22:$E$26, 4, 0)</f>
        <v>24</v>
      </c>
      <c r="H36" s="37">
        <f>E36+F36+G36</f>
        <v>62</v>
      </c>
    </row>
    <row r="37" spans="2:22" ht="18.75" x14ac:dyDescent="0.3">
      <c r="B37" s="37">
        <v>1</v>
      </c>
      <c r="C37" s="37">
        <v>3</v>
      </c>
      <c r="D37" s="37">
        <f t="shared" si="4"/>
        <v>4</v>
      </c>
      <c r="E37" s="37">
        <f t="shared" si="5"/>
        <v>52</v>
      </c>
      <c r="F37" s="37">
        <f t="shared" si="6"/>
        <v>9</v>
      </c>
      <c r="G37" s="37">
        <f>VLOOKUP(C37, $B$22:$E$26, 4, 0)</f>
        <v>14</v>
      </c>
      <c r="H37" s="37">
        <f>E37+F37+G37</f>
        <v>75</v>
      </c>
      <c r="J37" s="47" t="s">
        <v>79</v>
      </c>
      <c r="K37" s="47"/>
      <c r="L37" s="47"/>
      <c r="M37" s="47"/>
      <c r="N37" s="47"/>
      <c r="O37" s="47"/>
      <c r="P37" s="47"/>
    </row>
    <row r="38" spans="2:22" x14ac:dyDescent="0.25">
      <c r="B38" s="37">
        <v>1</v>
      </c>
      <c r="C38" s="37">
        <v>4</v>
      </c>
      <c r="D38" s="37">
        <f t="shared" si="4"/>
        <v>5</v>
      </c>
      <c r="E38" s="37">
        <f t="shared" si="5"/>
        <v>72</v>
      </c>
      <c r="F38" s="37">
        <f t="shared" si="6"/>
        <v>12</v>
      </c>
      <c r="G38" s="37">
        <f>VLOOKUP(C38, $B$22:$E$26, 4, 0)</f>
        <v>0</v>
      </c>
      <c r="H38" s="37">
        <f>E38+F38+G38</f>
        <v>84</v>
      </c>
      <c r="J38" s="42" t="s">
        <v>19</v>
      </c>
      <c r="K38" s="42" t="s">
        <v>11</v>
      </c>
      <c r="L38" s="42" t="s">
        <v>20</v>
      </c>
      <c r="M38" s="42" t="s">
        <v>21</v>
      </c>
      <c r="N38" s="42" t="s">
        <v>22</v>
      </c>
      <c r="O38" s="42" t="s">
        <v>23</v>
      </c>
      <c r="P38" s="42" t="s">
        <v>17</v>
      </c>
    </row>
    <row r="39" spans="2:22" ht="18.75" x14ac:dyDescent="0.3">
      <c r="B39" s="37">
        <v>2</v>
      </c>
      <c r="C39" s="37">
        <v>0</v>
      </c>
      <c r="D39" s="37">
        <f t="shared" si="4"/>
        <v>0</v>
      </c>
      <c r="E39" s="37">
        <f t="shared" si="5"/>
        <v>0</v>
      </c>
      <c r="F39" s="37">
        <f t="shared" si="6"/>
        <v>0</v>
      </c>
      <c r="G39" s="37">
        <f>VLOOKUP(C39, $B$22:$E$26, 4, 0)</f>
        <v>54</v>
      </c>
      <c r="H39" s="37">
        <f>E39+F39+G39</f>
        <v>54</v>
      </c>
      <c r="J39" s="42">
        <v>1</v>
      </c>
      <c r="K39" s="42">
        <v>0</v>
      </c>
      <c r="L39" s="42">
        <f>$C$3+K39-J39</f>
        <v>2</v>
      </c>
      <c r="M39" s="42">
        <f>VLOOKUP(L39, $B$9:$E$18, 2, 0)</f>
        <v>23</v>
      </c>
      <c r="N39" s="42">
        <f>$E$3*K39</f>
        <v>0</v>
      </c>
      <c r="O39" s="42">
        <f>VLOOKUP(K39, $G$20:$I$26, 2, 0)</f>
        <v>69</v>
      </c>
      <c r="P39" s="42">
        <f>M39 + N39 + O39</f>
        <v>92</v>
      </c>
      <c r="R39" s="48" t="s">
        <v>73</v>
      </c>
      <c r="S39" s="48"/>
      <c r="T39" s="48"/>
      <c r="U39" s="48"/>
      <c r="V39" s="48"/>
    </row>
    <row r="40" spans="2:22" x14ac:dyDescent="0.25">
      <c r="B40" s="37">
        <v>2</v>
      </c>
      <c r="C40" s="37">
        <v>1</v>
      </c>
      <c r="D40" s="37">
        <f t="shared" si="4"/>
        <v>1</v>
      </c>
      <c r="E40" s="37">
        <f t="shared" si="5"/>
        <v>12</v>
      </c>
      <c r="F40" s="37">
        <f t="shared" si="6"/>
        <v>3</v>
      </c>
      <c r="G40" s="37">
        <f>VLOOKUP(C40, $B$22:$E$26, 4, 0)</f>
        <v>34</v>
      </c>
      <c r="H40" s="37">
        <f>E40+F40+G40</f>
        <v>49</v>
      </c>
      <c r="J40" s="42">
        <v>1</v>
      </c>
      <c r="K40" s="42">
        <v>1</v>
      </c>
      <c r="L40" s="42">
        <f t="shared" ref="L40:L45" si="7">$C$3+K40-J40</f>
        <v>3</v>
      </c>
      <c r="M40" s="42">
        <f t="shared" ref="M40:M45" si="8">VLOOKUP(L40, $B$9:$E$18, 2, 0)</f>
        <v>33</v>
      </c>
      <c r="N40" s="42">
        <f t="shared" ref="N40:N45" si="9">$E$3*K40</f>
        <v>1</v>
      </c>
      <c r="O40" s="42">
        <f>VLOOKUP(K40, $G$20:$I$26, 2, 0)</f>
        <v>59</v>
      </c>
      <c r="P40" s="42">
        <f t="shared" ref="P40:P45" si="10">M40 + N40 + O40</f>
        <v>93</v>
      </c>
      <c r="R40" s="43" t="s">
        <v>11</v>
      </c>
      <c r="S40" s="43" t="s">
        <v>25</v>
      </c>
      <c r="T40" s="43" t="s">
        <v>24</v>
      </c>
      <c r="U40" s="43" t="s">
        <v>26</v>
      </c>
      <c r="V40" s="43" t="s">
        <v>27</v>
      </c>
    </row>
    <row r="41" spans="2:22" x14ac:dyDescent="0.25">
      <c r="B41" s="37">
        <v>2</v>
      </c>
      <c r="C41" s="37">
        <v>2</v>
      </c>
      <c r="D41" s="37">
        <f t="shared" si="4"/>
        <v>2</v>
      </c>
      <c r="E41" s="37">
        <f t="shared" si="5"/>
        <v>22</v>
      </c>
      <c r="F41" s="37">
        <f t="shared" si="6"/>
        <v>6</v>
      </c>
      <c r="G41" s="37">
        <f>VLOOKUP(C41, $B$22:$E$26, 4, 0)</f>
        <v>24</v>
      </c>
      <c r="H41" s="37">
        <f>E41+F41+G41</f>
        <v>52</v>
      </c>
      <c r="J41" s="42">
        <v>1</v>
      </c>
      <c r="K41" s="42">
        <v>2</v>
      </c>
      <c r="L41" s="42">
        <f t="shared" si="7"/>
        <v>4</v>
      </c>
      <c r="M41" s="42">
        <f t="shared" si="8"/>
        <v>53</v>
      </c>
      <c r="N41" s="42">
        <f t="shared" si="9"/>
        <v>2</v>
      </c>
      <c r="O41" s="42">
        <f>VLOOKUP(K41, $G$20:$I$26, 2, 0)</f>
        <v>49</v>
      </c>
      <c r="P41" s="42">
        <f t="shared" si="10"/>
        <v>104</v>
      </c>
      <c r="R41" s="43">
        <v>0</v>
      </c>
      <c r="S41" s="43">
        <f>MIN(P39:P45)</f>
        <v>92</v>
      </c>
      <c r="T41" s="43">
        <f>C3+R41-J39</f>
        <v>2</v>
      </c>
      <c r="U41" s="43">
        <f>C4+I20-G20</f>
        <v>3</v>
      </c>
      <c r="V41" s="43">
        <f>C5-B23</f>
        <v>3</v>
      </c>
    </row>
    <row r="42" spans="2:22" x14ac:dyDescent="0.25">
      <c r="B42" s="37">
        <v>2</v>
      </c>
      <c r="C42" s="37">
        <v>3</v>
      </c>
      <c r="D42" s="37">
        <f t="shared" si="4"/>
        <v>3</v>
      </c>
      <c r="E42" s="37">
        <f t="shared" si="5"/>
        <v>32</v>
      </c>
      <c r="F42" s="37">
        <f t="shared" si="6"/>
        <v>9</v>
      </c>
      <c r="G42" s="37">
        <f>VLOOKUP(C42, $B$22:$E$26, 4, 0)</f>
        <v>14</v>
      </c>
      <c r="H42" s="37">
        <f>E42+F42+G42</f>
        <v>55</v>
      </c>
      <c r="J42" s="42">
        <v>1</v>
      </c>
      <c r="K42" s="42">
        <v>3</v>
      </c>
      <c r="L42" s="42">
        <f t="shared" si="7"/>
        <v>5</v>
      </c>
      <c r="M42" s="42">
        <f t="shared" si="8"/>
        <v>73</v>
      </c>
      <c r="N42" s="42">
        <f t="shared" si="9"/>
        <v>3</v>
      </c>
      <c r="O42" s="42">
        <f>VLOOKUP(K42, $G$20:$I$26, 2, 0)</f>
        <v>37</v>
      </c>
      <c r="P42" s="42">
        <f t="shared" si="10"/>
        <v>113</v>
      </c>
    </row>
    <row r="43" spans="2:22" x14ac:dyDescent="0.25">
      <c r="B43" s="37">
        <v>2</v>
      </c>
      <c r="C43" s="37">
        <v>4</v>
      </c>
      <c r="D43" s="37">
        <f t="shared" si="4"/>
        <v>4</v>
      </c>
      <c r="E43" s="37">
        <f t="shared" si="5"/>
        <v>52</v>
      </c>
      <c r="F43" s="37">
        <f t="shared" si="6"/>
        <v>12</v>
      </c>
      <c r="G43" s="37">
        <f>VLOOKUP(C43, $B$22:$E$26, 4, 0)</f>
        <v>0</v>
      </c>
      <c r="H43" s="37">
        <f>E43+F43+G43</f>
        <v>64</v>
      </c>
      <c r="J43" s="42">
        <v>1</v>
      </c>
      <c r="K43" s="42">
        <v>4</v>
      </c>
      <c r="L43" s="42">
        <f t="shared" si="7"/>
        <v>6</v>
      </c>
      <c r="M43" s="42">
        <f t="shared" si="8"/>
        <v>93</v>
      </c>
      <c r="N43" s="42">
        <f t="shared" si="9"/>
        <v>4</v>
      </c>
      <c r="O43" s="42">
        <f>VLOOKUP(K43, $G$20:$I$26, 2, 0)</f>
        <v>30</v>
      </c>
      <c r="P43" s="42">
        <f t="shared" si="10"/>
        <v>127</v>
      </c>
    </row>
    <row r="44" spans="2:22" x14ac:dyDescent="0.25">
      <c r="B44" s="37">
        <v>3</v>
      </c>
      <c r="C44" s="37">
        <v>0</v>
      </c>
      <c r="D44" s="37">
        <f t="shared" si="4"/>
        <v>0</v>
      </c>
      <c r="E44" s="37">
        <f t="shared" si="5"/>
        <v>0</v>
      </c>
      <c r="F44" s="37">
        <f t="shared" si="6"/>
        <v>0</v>
      </c>
      <c r="G44" s="37">
        <f>VLOOKUP(C44, $B$22:$E$26, 4, 0)</f>
        <v>54</v>
      </c>
      <c r="H44" s="37">
        <f>E44+F44+G44</f>
        <v>54</v>
      </c>
      <c r="J44" s="42">
        <v>1</v>
      </c>
      <c r="K44" s="42">
        <v>5</v>
      </c>
      <c r="L44" s="42">
        <f t="shared" si="7"/>
        <v>7</v>
      </c>
      <c r="M44" s="42">
        <f t="shared" si="8"/>
        <v>113</v>
      </c>
      <c r="N44" s="42">
        <f t="shared" si="9"/>
        <v>5</v>
      </c>
      <c r="O44" s="42">
        <f>VLOOKUP(K44, $G$20:$I$26, 2, 0)</f>
        <v>23</v>
      </c>
      <c r="P44" s="42">
        <f t="shared" si="10"/>
        <v>141</v>
      </c>
    </row>
    <row r="45" spans="2:22" x14ac:dyDescent="0.25">
      <c r="B45" s="37">
        <v>3</v>
      </c>
      <c r="C45" s="37">
        <v>1</v>
      </c>
      <c r="D45" s="37">
        <f t="shared" si="4"/>
        <v>0</v>
      </c>
      <c r="E45" s="37">
        <f t="shared" si="5"/>
        <v>0</v>
      </c>
      <c r="F45" s="37">
        <f t="shared" si="6"/>
        <v>3</v>
      </c>
      <c r="G45" s="37">
        <f>VLOOKUP(C45, $B$22:$E$26, 4, 0)</f>
        <v>34</v>
      </c>
      <c r="H45" s="37">
        <f>E45+F45+G45</f>
        <v>37</v>
      </c>
      <c r="J45" s="42">
        <v>1</v>
      </c>
      <c r="K45" s="42">
        <v>6</v>
      </c>
      <c r="L45" s="42">
        <f t="shared" si="7"/>
        <v>8</v>
      </c>
      <c r="M45" s="42">
        <f t="shared" si="8"/>
        <v>133</v>
      </c>
      <c r="N45" s="42">
        <f t="shared" si="9"/>
        <v>6</v>
      </c>
      <c r="O45" s="42">
        <f>VLOOKUP(K45, $G$20:$I$26, 2, 0)</f>
        <v>12</v>
      </c>
      <c r="P45" s="42">
        <f t="shared" si="10"/>
        <v>151</v>
      </c>
    </row>
    <row r="46" spans="2:22" x14ac:dyDescent="0.25">
      <c r="B46" s="37">
        <v>3</v>
      </c>
      <c r="C46" s="37">
        <v>2</v>
      </c>
      <c r="D46" s="37">
        <f t="shared" si="4"/>
        <v>1</v>
      </c>
      <c r="E46" s="37">
        <f t="shared" si="5"/>
        <v>12</v>
      </c>
      <c r="F46" s="37">
        <f t="shared" si="6"/>
        <v>6</v>
      </c>
      <c r="G46" s="37">
        <f>VLOOKUP(C46, $B$22:$E$26, 4, 0)</f>
        <v>24</v>
      </c>
      <c r="H46" s="37">
        <f>E46+F46+G46</f>
        <v>42</v>
      </c>
    </row>
    <row r="47" spans="2:22" x14ac:dyDescent="0.25">
      <c r="B47" s="37">
        <v>3</v>
      </c>
      <c r="C47" s="37">
        <v>3</v>
      </c>
      <c r="D47" s="37">
        <f t="shared" si="4"/>
        <v>2</v>
      </c>
      <c r="E47" s="37">
        <f t="shared" si="5"/>
        <v>22</v>
      </c>
      <c r="F47" s="37">
        <f t="shared" si="6"/>
        <v>9</v>
      </c>
      <c r="G47" s="37">
        <f>VLOOKUP(C47, $B$22:$E$26, 4, 0)</f>
        <v>14</v>
      </c>
      <c r="H47" s="37">
        <f>E47+F47+G47</f>
        <v>45</v>
      </c>
    </row>
    <row r="48" spans="2:22" x14ac:dyDescent="0.25">
      <c r="B48" s="37">
        <v>3</v>
      </c>
      <c r="C48" s="37">
        <v>4</v>
      </c>
      <c r="D48" s="37">
        <f t="shared" si="4"/>
        <v>3</v>
      </c>
      <c r="E48" s="37">
        <f t="shared" si="5"/>
        <v>32</v>
      </c>
      <c r="F48" s="37">
        <f t="shared" si="6"/>
        <v>12</v>
      </c>
      <c r="G48" s="37">
        <f>VLOOKUP(C48, $B$22:$E$26, 4, 0)</f>
        <v>0</v>
      </c>
      <c r="H48" s="37">
        <f>E48+F48+G48</f>
        <v>44</v>
      </c>
    </row>
    <row r="49" spans="2:18" x14ac:dyDescent="0.25">
      <c r="B49" s="37">
        <v>4</v>
      </c>
      <c r="C49" s="37">
        <v>0</v>
      </c>
      <c r="D49" s="37">
        <f t="shared" si="4"/>
        <v>0</v>
      </c>
      <c r="E49" s="37">
        <f t="shared" si="5"/>
        <v>0</v>
      </c>
      <c r="F49" s="37">
        <f t="shared" si="6"/>
        <v>0</v>
      </c>
      <c r="G49" s="37">
        <f>VLOOKUP(C49, $B$22:$E$26, 4, 0)</f>
        <v>54</v>
      </c>
      <c r="H49" s="37">
        <f>E49+F49+G49</f>
        <v>54</v>
      </c>
    </row>
    <row r="50" spans="2:18" x14ac:dyDescent="0.25">
      <c r="B50" s="37">
        <v>4</v>
      </c>
      <c r="C50" s="37">
        <v>1</v>
      </c>
      <c r="D50" s="37">
        <f t="shared" si="4"/>
        <v>0</v>
      </c>
      <c r="E50" s="37">
        <f t="shared" si="5"/>
        <v>0</v>
      </c>
      <c r="F50" s="37">
        <f t="shared" si="6"/>
        <v>3</v>
      </c>
      <c r="G50" s="37">
        <f>VLOOKUP(C50, $B$22:$E$26, 4, 0)</f>
        <v>34</v>
      </c>
      <c r="H50" s="37">
        <f>E50+F50+G50</f>
        <v>37</v>
      </c>
    </row>
    <row r="51" spans="2:18" ht="18.75" x14ac:dyDescent="0.3">
      <c r="B51" s="37">
        <v>4</v>
      </c>
      <c r="C51" s="37">
        <v>2</v>
      </c>
      <c r="D51" s="37">
        <f t="shared" si="4"/>
        <v>0</v>
      </c>
      <c r="E51" s="37">
        <f t="shared" si="5"/>
        <v>0</v>
      </c>
      <c r="F51" s="37">
        <f t="shared" si="6"/>
        <v>6</v>
      </c>
      <c r="G51" s="37">
        <f>VLOOKUP(C51, $B$22:$E$26, 4, 0)</f>
        <v>24</v>
      </c>
      <c r="H51" s="37">
        <f>E51+F51+G51</f>
        <v>30</v>
      </c>
      <c r="L51" s="47" t="s">
        <v>79</v>
      </c>
      <c r="M51" s="47"/>
      <c r="N51" s="47"/>
      <c r="O51" s="47"/>
      <c r="P51" s="47"/>
      <c r="Q51" s="47"/>
      <c r="R51" s="47"/>
    </row>
    <row r="52" spans="2:18" x14ac:dyDescent="0.25">
      <c r="B52" s="37">
        <v>4</v>
      </c>
      <c r="C52" s="37">
        <v>3</v>
      </c>
      <c r="D52" s="37">
        <f t="shared" si="4"/>
        <v>1</v>
      </c>
      <c r="E52" s="37">
        <f t="shared" si="5"/>
        <v>12</v>
      </c>
      <c r="F52" s="37">
        <f t="shared" si="6"/>
        <v>9</v>
      </c>
      <c r="G52" s="37">
        <f>VLOOKUP(C52, $B$22:$E$26, 4, 0)</f>
        <v>14</v>
      </c>
      <c r="H52" s="37">
        <f>E52+F52+G52</f>
        <v>35</v>
      </c>
      <c r="L52" s="42" t="s">
        <v>19</v>
      </c>
      <c r="M52" s="42" t="s">
        <v>11</v>
      </c>
      <c r="N52" s="42" t="s">
        <v>20</v>
      </c>
      <c r="O52" s="42" t="s">
        <v>21</v>
      </c>
      <c r="P52" s="42" t="s">
        <v>22</v>
      </c>
      <c r="Q52" s="42" t="s">
        <v>23</v>
      </c>
      <c r="R52" s="42" t="s">
        <v>17</v>
      </c>
    </row>
    <row r="53" spans="2:18" x14ac:dyDescent="0.25">
      <c r="B53" s="37">
        <v>4</v>
      </c>
      <c r="C53" s="37">
        <v>4</v>
      </c>
      <c r="D53" s="37">
        <f t="shared" si="4"/>
        <v>2</v>
      </c>
      <c r="E53" s="37">
        <f t="shared" si="5"/>
        <v>22</v>
      </c>
      <c r="F53" s="37">
        <f t="shared" si="6"/>
        <v>12</v>
      </c>
      <c r="G53" s="37">
        <f>VLOOKUP(C53, $B$22:$E$26, 4, 0)</f>
        <v>0</v>
      </c>
      <c r="H53" s="37">
        <f>E53+F53+G53</f>
        <v>34</v>
      </c>
      <c r="L53" s="42">
        <v>1</v>
      </c>
      <c r="M53" s="42">
        <v>0</v>
      </c>
      <c r="N53" s="42">
        <f>$C$3+M53-L53</f>
        <v>2</v>
      </c>
      <c r="O53" s="42">
        <f>VLOOKUP(N53, $B$9:$E$18, 2, 0)</f>
        <v>23</v>
      </c>
      <c r="P53" s="42">
        <f>$E$3*M53</f>
        <v>0</v>
      </c>
      <c r="Q53" s="42">
        <f>O53+P53</f>
        <v>23</v>
      </c>
      <c r="R53" s="42">
        <f>O53 + P53 + Q53</f>
        <v>46</v>
      </c>
    </row>
    <row r="54" spans="2:18" x14ac:dyDescent="0.25">
      <c r="B54" s="37">
        <v>5</v>
      </c>
      <c r="C54" s="37">
        <v>0</v>
      </c>
      <c r="D54" s="37">
        <f t="shared" si="4"/>
        <v>0</v>
      </c>
      <c r="E54" s="37">
        <f t="shared" si="5"/>
        <v>0</v>
      </c>
      <c r="F54" s="37">
        <f t="shared" si="6"/>
        <v>0</v>
      </c>
      <c r="G54" s="37">
        <f>VLOOKUP(C54, $B$22:$E$26, 4, 0)</f>
        <v>54</v>
      </c>
      <c r="H54" s="37">
        <f>E54+F54+G54</f>
        <v>54</v>
      </c>
      <c r="L54" s="42">
        <v>1</v>
      </c>
      <c r="M54" s="42">
        <v>1</v>
      </c>
      <c r="N54" s="42">
        <f t="shared" ref="N54:N59" si="11">$C$3+M54-L54</f>
        <v>3</v>
      </c>
      <c r="O54" s="42">
        <f t="shared" ref="O54:O59" si="12">VLOOKUP(N54, $B$9:$E$18, 2, 0)</f>
        <v>33</v>
      </c>
      <c r="P54" s="42">
        <f t="shared" ref="P54:P59" si="13">$E$3*M54</f>
        <v>1</v>
      </c>
      <c r="Q54" s="42">
        <f t="shared" ref="Q54:Q59" si="14">O54+P54</f>
        <v>34</v>
      </c>
      <c r="R54" s="42">
        <f t="shared" ref="R54:R59" si="15">O54 + P54 + Q54</f>
        <v>68</v>
      </c>
    </row>
    <row r="55" spans="2:18" x14ac:dyDescent="0.25">
      <c r="B55" s="37">
        <v>5</v>
      </c>
      <c r="C55" s="37">
        <v>1</v>
      </c>
      <c r="D55" s="37">
        <f t="shared" si="4"/>
        <v>0</v>
      </c>
      <c r="E55" s="37">
        <f t="shared" si="5"/>
        <v>0</v>
      </c>
      <c r="F55" s="37">
        <f t="shared" si="6"/>
        <v>3</v>
      </c>
      <c r="G55" s="37">
        <f>VLOOKUP(C55, $B$22:$E$26, 4, 0)</f>
        <v>34</v>
      </c>
      <c r="H55" s="37">
        <f>E55+F55+G55</f>
        <v>37</v>
      </c>
      <c r="L55" s="42">
        <v>1</v>
      </c>
      <c r="M55" s="42">
        <v>2</v>
      </c>
      <c r="N55" s="42">
        <f t="shared" si="11"/>
        <v>4</v>
      </c>
      <c r="O55" s="42">
        <f t="shared" si="12"/>
        <v>53</v>
      </c>
      <c r="P55" s="42">
        <f t="shared" si="13"/>
        <v>2</v>
      </c>
      <c r="Q55" s="42">
        <f t="shared" si="14"/>
        <v>55</v>
      </c>
      <c r="R55" s="42">
        <f t="shared" si="15"/>
        <v>110</v>
      </c>
    </row>
    <row r="56" spans="2:18" x14ac:dyDescent="0.25">
      <c r="B56" s="37">
        <v>5</v>
      </c>
      <c r="C56" s="37">
        <v>2</v>
      </c>
      <c r="D56" s="37">
        <f t="shared" si="4"/>
        <v>0</v>
      </c>
      <c r="E56" s="37">
        <f t="shared" si="5"/>
        <v>0</v>
      </c>
      <c r="F56" s="37">
        <f t="shared" si="6"/>
        <v>6</v>
      </c>
      <c r="G56" s="37">
        <f>VLOOKUP(C56, $B$22:$E$26, 4, 0)</f>
        <v>24</v>
      </c>
      <c r="H56" s="37">
        <f>E56+F56+G56</f>
        <v>30</v>
      </c>
      <c r="L56" s="42">
        <v>1</v>
      </c>
      <c r="M56" s="42">
        <v>3</v>
      </c>
      <c r="N56" s="42">
        <f t="shared" si="11"/>
        <v>5</v>
      </c>
      <c r="O56" s="42">
        <f t="shared" si="12"/>
        <v>73</v>
      </c>
      <c r="P56" s="42">
        <f t="shared" si="13"/>
        <v>3</v>
      </c>
      <c r="Q56" s="42">
        <f t="shared" si="14"/>
        <v>76</v>
      </c>
      <c r="R56" s="42">
        <f t="shared" si="15"/>
        <v>152</v>
      </c>
    </row>
    <row r="57" spans="2:18" x14ac:dyDescent="0.25">
      <c r="B57" s="37">
        <v>5</v>
      </c>
      <c r="C57" s="37">
        <v>3</v>
      </c>
      <c r="D57" s="37">
        <f t="shared" si="4"/>
        <v>0</v>
      </c>
      <c r="E57" s="37">
        <f t="shared" si="5"/>
        <v>0</v>
      </c>
      <c r="F57" s="37">
        <f t="shared" si="6"/>
        <v>9</v>
      </c>
      <c r="G57" s="37">
        <f>VLOOKUP(C57, $B$22:$E$26, 4, 0)</f>
        <v>14</v>
      </c>
      <c r="H57" s="37">
        <f>E57+F57+G57</f>
        <v>23</v>
      </c>
      <c r="L57" s="42">
        <v>1</v>
      </c>
      <c r="M57" s="42">
        <v>4</v>
      </c>
      <c r="N57" s="42">
        <f t="shared" si="11"/>
        <v>6</v>
      </c>
      <c r="O57" s="42">
        <f t="shared" si="12"/>
        <v>93</v>
      </c>
      <c r="P57" s="42">
        <f t="shared" si="13"/>
        <v>4</v>
      </c>
      <c r="Q57" s="42">
        <f t="shared" si="14"/>
        <v>97</v>
      </c>
      <c r="R57" s="42">
        <f t="shared" si="15"/>
        <v>194</v>
      </c>
    </row>
    <row r="58" spans="2:18" x14ac:dyDescent="0.25">
      <c r="B58" s="37">
        <v>5</v>
      </c>
      <c r="C58" s="37">
        <v>4</v>
      </c>
      <c r="D58" s="37">
        <f t="shared" si="4"/>
        <v>1</v>
      </c>
      <c r="E58" s="37">
        <f t="shared" si="5"/>
        <v>12</v>
      </c>
      <c r="F58" s="37">
        <f t="shared" si="6"/>
        <v>12</v>
      </c>
      <c r="G58" s="37">
        <f>VLOOKUP(C58, $B$22:$E$26, 4, 0)</f>
        <v>0</v>
      </c>
      <c r="H58" s="37">
        <f>E58+F58+G58</f>
        <v>24</v>
      </c>
      <c r="L58" s="42">
        <v>1</v>
      </c>
      <c r="M58" s="42">
        <v>5</v>
      </c>
      <c r="N58" s="42">
        <f t="shared" si="11"/>
        <v>7</v>
      </c>
      <c r="O58" s="42">
        <f t="shared" si="12"/>
        <v>113</v>
      </c>
      <c r="P58" s="42">
        <f t="shared" si="13"/>
        <v>5</v>
      </c>
      <c r="Q58" s="42">
        <f t="shared" si="14"/>
        <v>118</v>
      </c>
      <c r="R58" s="42">
        <f t="shared" si="15"/>
        <v>236</v>
      </c>
    </row>
    <row r="59" spans="2:18" x14ac:dyDescent="0.25">
      <c r="B59" s="37">
        <v>6</v>
      </c>
      <c r="C59" s="37">
        <v>0</v>
      </c>
      <c r="D59" s="37">
        <f t="shared" si="4"/>
        <v>0</v>
      </c>
      <c r="E59" s="37">
        <f t="shared" si="5"/>
        <v>0</v>
      </c>
      <c r="F59" s="37">
        <f t="shared" si="6"/>
        <v>0</v>
      </c>
      <c r="G59" s="37">
        <f>VLOOKUP(C59, $B$22:$E$26, 4, 0)</f>
        <v>54</v>
      </c>
      <c r="H59" s="37">
        <f>E59+F59+G59</f>
        <v>54</v>
      </c>
      <c r="L59" s="42">
        <v>1</v>
      </c>
      <c r="M59" s="42">
        <v>6</v>
      </c>
      <c r="N59" s="42">
        <f t="shared" si="11"/>
        <v>8</v>
      </c>
      <c r="O59" s="42">
        <f t="shared" si="12"/>
        <v>133</v>
      </c>
      <c r="P59" s="42">
        <f t="shared" si="13"/>
        <v>6</v>
      </c>
      <c r="Q59" s="42">
        <f t="shared" si="14"/>
        <v>139</v>
      </c>
      <c r="R59" s="42">
        <f t="shared" si="15"/>
        <v>278</v>
      </c>
    </row>
    <row r="60" spans="2:18" x14ac:dyDescent="0.25">
      <c r="B60" s="37">
        <v>6</v>
      </c>
      <c r="C60" s="37">
        <v>1</v>
      </c>
      <c r="D60" s="37">
        <f t="shared" si="4"/>
        <v>0</v>
      </c>
      <c r="E60" s="37">
        <f t="shared" si="5"/>
        <v>0</v>
      </c>
      <c r="F60" s="37">
        <f t="shared" si="6"/>
        <v>3</v>
      </c>
      <c r="G60" s="37">
        <f>VLOOKUP(C60, $B$22:$E$26, 4, 0)</f>
        <v>34</v>
      </c>
      <c r="H60" s="37">
        <f>E60+F60+G60</f>
        <v>37</v>
      </c>
    </row>
    <row r="61" spans="2:18" x14ac:dyDescent="0.25">
      <c r="B61" s="37">
        <v>6</v>
      </c>
      <c r="C61" s="37">
        <v>2</v>
      </c>
      <c r="D61" s="37">
        <f t="shared" si="4"/>
        <v>0</v>
      </c>
      <c r="E61" s="37">
        <f t="shared" si="5"/>
        <v>0</v>
      </c>
      <c r="F61" s="37">
        <f t="shared" si="6"/>
        <v>6</v>
      </c>
      <c r="G61" s="37">
        <f>VLOOKUP(C61, $B$22:$E$26, 4, 0)</f>
        <v>24</v>
      </c>
      <c r="H61" s="37">
        <f>E61+F61+G61</f>
        <v>30</v>
      </c>
    </row>
    <row r="62" spans="2:18" x14ac:dyDescent="0.25">
      <c r="B62" s="37">
        <v>6</v>
      </c>
      <c r="C62" s="37">
        <v>3</v>
      </c>
      <c r="D62" s="37">
        <f t="shared" si="4"/>
        <v>0</v>
      </c>
      <c r="E62" s="37">
        <f t="shared" si="5"/>
        <v>0</v>
      </c>
      <c r="F62" s="37">
        <f t="shared" si="6"/>
        <v>9</v>
      </c>
      <c r="G62" s="37">
        <f>VLOOKUP(C62, $B$22:$E$26, 4, 0)</f>
        <v>14</v>
      </c>
      <c r="H62" s="37">
        <f>E62+F62+G62</f>
        <v>23</v>
      </c>
    </row>
    <row r="63" spans="2:18" x14ac:dyDescent="0.25">
      <c r="B63" s="37">
        <v>6</v>
      </c>
      <c r="C63" s="37">
        <v>4</v>
      </c>
      <c r="D63" s="37">
        <f t="shared" si="4"/>
        <v>0</v>
      </c>
      <c r="E63" s="37">
        <f t="shared" si="5"/>
        <v>0</v>
      </c>
      <c r="F63" s="37">
        <f t="shared" si="6"/>
        <v>12</v>
      </c>
      <c r="G63" s="37">
        <f>VLOOKUP(C63, $B$22:$E$26, 4, 0)</f>
        <v>0</v>
      </c>
      <c r="H63" s="37">
        <f>E63+F63+G63</f>
        <v>12</v>
      </c>
    </row>
  </sheetData>
  <mergeCells count="8">
    <mergeCell ref="L51:R51"/>
    <mergeCell ref="J37:P37"/>
    <mergeCell ref="R39:V39"/>
    <mergeCell ref="P2:S6"/>
    <mergeCell ref="J8:S12"/>
    <mergeCell ref="B7:E7"/>
    <mergeCell ref="B20:E20"/>
    <mergeCell ref="B27:H27"/>
  </mergeCells>
  <phoneticPr fontId="3" type="noConversion"/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topLeftCell="A2" workbookViewId="0">
      <selection activeCell="E26" sqref="E26"/>
    </sheetView>
  </sheetViews>
  <sheetFormatPr defaultRowHeight="15" x14ac:dyDescent="0.25"/>
  <sheetData>
    <row r="1" spans="1:19" ht="14.45" customHeight="1" x14ac:dyDescent="0.25">
      <c r="A1" s="2" t="s">
        <v>0</v>
      </c>
      <c r="B1" s="1" t="s">
        <v>3</v>
      </c>
      <c r="C1" s="1" t="s">
        <v>1</v>
      </c>
      <c r="D1" s="2" t="s">
        <v>2</v>
      </c>
      <c r="F1" s="54" t="s">
        <v>29</v>
      </c>
      <c r="G1" s="54"/>
      <c r="I1" s="53" t="s">
        <v>31</v>
      </c>
      <c r="J1" s="53"/>
      <c r="K1" s="53"/>
      <c r="L1" s="53"/>
      <c r="M1" s="53"/>
    </row>
    <row r="2" spans="1:19" x14ac:dyDescent="0.25">
      <c r="A2" s="2">
        <v>1</v>
      </c>
      <c r="B2" s="2">
        <v>3</v>
      </c>
      <c r="C2" s="2">
        <v>3</v>
      </c>
      <c r="D2" s="2">
        <v>1</v>
      </c>
      <c r="F2" t="s">
        <v>19</v>
      </c>
      <c r="G2" s="2">
        <v>1</v>
      </c>
      <c r="I2" t="s">
        <v>4</v>
      </c>
      <c r="J2" t="s">
        <v>30</v>
      </c>
      <c r="K2" t="s">
        <v>5</v>
      </c>
      <c r="L2" t="s">
        <v>6</v>
      </c>
      <c r="M2" t="s">
        <v>7</v>
      </c>
    </row>
    <row r="3" spans="1:19" x14ac:dyDescent="0.25">
      <c r="A3" s="2">
        <v>2</v>
      </c>
      <c r="B3" s="2">
        <v>2</v>
      </c>
      <c r="C3" s="2">
        <v>7</v>
      </c>
      <c r="D3" s="2">
        <v>3</v>
      </c>
      <c r="I3">
        <v>0</v>
      </c>
      <c r="J3">
        <f>IF($I3&lt;=3,10*$I3,30+20*($I3-3))</f>
        <v>0</v>
      </c>
      <c r="K3">
        <f>IF(J3=0,0,J3+$C$2)</f>
        <v>0</v>
      </c>
      <c r="L3">
        <f>IF(J3=0,0,J3+$C$3)</f>
        <v>0</v>
      </c>
      <c r="M3">
        <f>IF(J3=0,0,J3+$C$4)</f>
        <v>0</v>
      </c>
    </row>
    <row r="4" spans="1:19" x14ac:dyDescent="0.25">
      <c r="A4" s="2">
        <v>3</v>
      </c>
      <c r="B4" s="2">
        <v>4</v>
      </c>
      <c r="C4" s="2">
        <v>6</v>
      </c>
      <c r="D4" s="2">
        <v>2</v>
      </c>
      <c r="I4">
        <v>1</v>
      </c>
      <c r="J4">
        <f t="shared" ref="J4:J11" si="0">IF($I4&lt;=3,10*$I4,30+20*($I4-3))</f>
        <v>10</v>
      </c>
      <c r="K4">
        <f t="shared" ref="K4:K11" si="1">IF(J4=0,0,J4+$C$2)</f>
        <v>13</v>
      </c>
      <c r="L4">
        <f t="shared" ref="L4:L11" si="2">IF(J4=0,0,J4+$C$3)</f>
        <v>17</v>
      </c>
      <c r="M4">
        <f t="shared" ref="M4:M11" si="3">IF(J4=0,0,J4+$C$4)</f>
        <v>16</v>
      </c>
    </row>
    <row r="5" spans="1:19" x14ac:dyDescent="0.25">
      <c r="A5" s="2"/>
      <c r="B5" s="2"/>
      <c r="C5" s="2"/>
      <c r="D5" s="2"/>
      <c r="I5">
        <v>2</v>
      </c>
      <c r="J5">
        <f t="shared" si="0"/>
        <v>20</v>
      </c>
      <c r="K5">
        <f t="shared" si="1"/>
        <v>23</v>
      </c>
      <c r="L5">
        <f t="shared" si="2"/>
        <v>27</v>
      </c>
      <c r="M5">
        <f t="shared" si="3"/>
        <v>26</v>
      </c>
    </row>
    <row r="6" spans="1:19" x14ac:dyDescent="0.25">
      <c r="I6">
        <v>3</v>
      </c>
      <c r="J6">
        <f t="shared" si="0"/>
        <v>30</v>
      </c>
      <c r="K6">
        <f t="shared" si="1"/>
        <v>33</v>
      </c>
      <c r="L6">
        <f t="shared" si="2"/>
        <v>37</v>
      </c>
      <c r="M6">
        <f t="shared" si="3"/>
        <v>36</v>
      </c>
    </row>
    <row r="7" spans="1:19" x14ac:dyDescent="0.25">
      <c r="I7">
        <v>4</v>
      </c>
      <c r="J7">
        <f t="shared" si="0"/>
        <v>50</v>
      </c>
      <c r="K7">
        <f t="shared" si="1"/>
        <v>53</v>
      </c>
      <c r="L7">
        <f t="shared" si="2"/>
        <v>57</v>
      </c>
      <c r="M7">
        <f t="shared" si="3"/>
        <v>56</v>
      </c>
    </row>
    <row r="8" spans="1:19" x14ac:dyDescent="0.25">
      <c r="I8">
        <v>5</v>
      </c>
      <c r="J8">
        <f t="shared" si="0"/>
        <v>70</v>
      </c>
      <c r="K8">
        <f t="shared" si="1"/>
        <v>73</v>
      </c>
      <c r="L8">
        <f t="shared" si="2"/>
        <v>77</v>
      </c>
      <c r="M8">
        <f t="shared" si="3"/>
        <v>76</v>
      </c>
    </row>
    <row r="9" spans="1:19" x14ac:dyDescent="0.25">
      <c r="I9">
        <v>6</v>
      </c>
      <c r="J9">
        <f t="shared" si="0"/>
        <v>90</v>
      </c>
      <c r="K9">
        <f t="shared" si="1"/>
        <v>93</v>
      </c>
      <c r="L9">
        <f t="shared" si="2"/>
        <v>97</v>
      </c>
      <c r="M9">
        <f t="shared" si="3"/>
        <v>96</v>
      </c>
    </row>
    <row r="10" spans="1:19" x14ac:dyDescent="0.25">
      <c r="I10">
        <v>7</v>
      </c>
      <c r="J10">
        <f t="shared" si="0"/>
        <v>110</v>
      </c>
      <c r="K10">
        <f t="shared" si="1"/>
        <v>113</v>
      </c>
      <c r="L10">
        <f t="shared" si="2"/>
        <v>117</v>
      </c>
      <c r="M10">
        <f t="shared" si="3"/>
        <v>116</v>
      </c>
    </row>
    <row r="11" spans="1:19" x14ac:dyDescent="0.25">
      <c r="I11">
        <v>8</v>
      </c>
      <c r="J11">
        <f t="shared" si="0"/>
        <v>130</v>
      </c>
      <c r="K11">
        <f t="shared" si="1"/>
        <v>133</v>
      </c>
      <c r="L11">
        <f t="shared" si="2"/>
        <v>137</v>
      </c>
      <c r="M11">
        <f t="shared" si="3"/>
        <v>136</v>
      </c>
    </row>
    <row r="13" spans="1:19" x14ac:dyDescent="0.25">
      <c r="A13" t="s">
        <v>32</v>
      </c>
      <c r="B13" s="1" t="s">
        <v>57</v>
      </c>
      <c r="C13" s="54" t="s">
        <v>33</v>
      </c>
      <c r="D13" s="54"/>
      <c r="H13" t="s">
        <v>35</v>
      </c>
      <c r="I13" t="s">
        <v>36</v>
      </c>
      <c r="J13" t="s">
        <v>37</v>
      </c>
    </row>
    <row r="14" spans="1:19" x14ac:dyDescent="0.25">
      <c r="A14" t="s">
        <v>11</v>
      </c>
      <c r="B14" t="s">
        <v>22</v>
      </c>
      <c r="C14" t="s">
        <v>20</v>
      </c>
      <c r="D14" t="s">
        <v>5</v>
      </c>
      <c r="E14" t="s">
        <v>34</v>
      </c>
      <c r="L14" s="54" t="s">
        <v>42</v>
      </c>
      <c r="M14" s="54"/>
      <c r="N14" s="54"/>
      <c r="R14" s="53" t="s">
        <v>44</v>
      </c>
      <c r="S14" s="53"/>
    </row>
    <row r="15" spans="1:19" x14ac:dyDescent="0.25">
      <c r="A15">
        <v>0</v>
      </c>
      <c r="B15">
        <f>$D$2*A15</f>
        <v>0</v>
      </c>
      <c r="C15">
        <f>$B$2+A15-$G$2</f>
        <v>2</v>
      </c>
      <c r="D15">
        <f>VLOOKUP(C15, $I$3:$M$11, 3, 0)</f>
        <v>23</v>
      </c>
      <c r="E15">
        <f>D15+B15</f>
        <v>23</v>
      </c>
      <c r="J15" t="s">
        <v>40</v>
      </c>
      <c r="K15">
        <v>0</v>
      </c>
      <c r="L15">
        <v>1</v>
      </c>
      <c r="M15">
        <v>2</v>
      </c>
      <c r="N15">
        <v>3</v>
      </c>
      <c r="O15">
        <v>4</v>
      </c>
      <c r="P15">
        <v>5</v>
      </c>
      <c r="Q15">
        <v>6</v>
      </c>
      <c r="R15" s="53"/>
      <c r="S15" s="53"/>
    </row>
    <row r="16" spans="1:19" x14ac:dyDescent="0.25">
      <c r="A16">
        <v>1</v>
      </c>
      <c r="B16">
        <f t="shared" ref="B16:B21" si="4">$D$2*A16</f>
        <v>1</v>
      </c>
      <c r="C16">
        <f t="shared" ref="C16:C21" si="5">$B$2+A16-$G$2</f>
        <v>3</v>
      </c>
      <c r="D16">
        <f t="shared" ref="D16:D21" si="6">VLOOKUP(C16, $I$3:$M$11, 3, 0)</f>
        <v>33</v>
      </c>
      <c r="E16">
        <f t="shared" ref="E16:E21" si="7">D16+B16</f>
        <v>34</v>
      </c>
      <c r="H16" t="s">
        <v>8</v>
      </c>
      <c r="I16" t="s">
        <v>15</v>
      </c>
      <c r="J16" t="s">
        <v>41</v>
      </c>
      <c r="K16">
        <f>VLOOKUP(K$15, $I$3:$M$11, 4, 0)</f>
        <v>0</v>
      </c>
      <c r="L16">
        <f t="shared" ref="L16:Q16" si="8">VLOOKUP(L$15, $I$3:$M$11, 4, 0)</f>
        <v>17</v>
      </c>
      <c r="M16">
        <f t="shared" si="8"/>
        <v>27</v>
      </c>
      <c r="N16">
        <f t="shared" si="8"/>
        <v>37</v>
      </c>
      <c r="O16">
        <f t="shared" si="8"/>
        <v>57</v>
      </c>
      <c r="P16">
        <f t="shared" si="8"/>
        <v>77</v>
      </c>
      <c r="Q16">
        <f t="shared" si="8"/>
        <v>97</v>
      </c>
      <c r="R16" t="s">
        <v>43</v>
      </c>
      <c r="S16" t="s">
        <v>26</v>
      </c>
    </row>
    <row r="17" spans="1:21" x14ac:dyDescent="0.25">
      <c r="A17">
        <v>2</v>
      </c>
      <c r="B17">
        <f t="shared" si="4"/>
        <v>2</v>
      </c>
      <c r="C17">
        <f t="shared" si="5"/>
        <v>4</v>
      </c>
      <c r="D17">
        <f t="shared" si="6"/>
        <v>53</v>
      </c>
      <c r="E17">
        <f t="shared" si="7"/>
        <v>55</v>
      </c>
      <c r="H17">
        <v>0</v>
      </c>
      <c r="I17">
        <f t="shared" ref="I17:I21" si="9">$D$3*H17</f>
        <v>0</v>
      </c>
      <c r="K17">
        <f>K$16+$I17+VLOOKUP($H17+$B$3-K$15,$A$15:$E$21,5,0)</f>
        <v>55</v>
      </c>
      <c r="L17">
        <f>L$16+$I17+VLOOKUP($H17+$B$3-L$15,$A$15:$E$21,5,0)</f>
        <v>51</v>
      </c>
      <c r="M17">
        <f t="shared" ref="M17" si="10">M$16+$I17+VLOOKUP($H17+$B$3-M$15,$A$15:$E$21,5,0)</f>
        <v>50</v>
      </c>
      <c r="R17">
        <f>MIN(K17:Q17)</f>
        <v>50</v>
      </c>
      <c r="S17">
        <v>2</v>
      </c>
    </row>
    <row r="18" spans="1:21" x14ac:dyDescent="0.25">
      <c r="A18">
        <v>3</v>
      </c>
      <c r="B18">
        <f t="shared" si="4"/>
        <v>3</v>
      </c>
      <c r="C18">
        <f t="shared" si="5"/>
        <v>5</v>
      </c>
      <c r="D18">
        <f t="shared" si="6"/>
        <v>73</v>
      </c>
      <c r="E18">
        <f t="shared" si="7"/>
        <v>76</v>
      </c>
      <c r="H18">
        <v>1</v>
      </c>
      <c r="I18">
        <f t="shared" si="9"/>
        <v>3</v>
      </c>
      <c r="K18">
        <f t="shared" ref="K18:Q21" si="11">K$16+$I18+VLOOKUP($H18+$B$3-K$15,$A$15:$E$21,5,0)</f>
        <v>79</v>
      </c>
      <c r="L18">
        <f t="shared" si="11"/>
        <v>75</v>
      </c>
      <c r="M18">
        <f t="shared" si="11"/>
        <v>64</v>
      </c>
      <c r="N18">
        <f t="shared" si="11"/>
        <v>63</v>
      </c>
      <c r="R18">
        <f t="shared" ref="R18:R21" si="12">MIN(K18:Q18)</f>
        <v>63</v>
      </c>
      <c r="S18">
        <v>3</v>
      </c>
    </row>
    <row r="19" spans="1:21" x14ac:dyDescent="0.25">
      <c r="A19">
        <v>4</v>
      </c>
      <c r="B19">
        <f t="shared" si="4"/>
        <v>4</v>
      </c>
      <c r="C19">
        <f t="shared" si="5"/>
        <v>6</v>
      </c>
      <c r="D19">
        <f t="shared" si="6"/>
        <v>93</v>
      </c>
      <c r="E19">
        <f t="shared" si="7"/>
        <v>97</v>
      </c>
      <c r="H19">
        <v>2</v>
      </c>
      <c r="I19">
        <f t="shared" si="9"/>
        <v>6</v>
      </c>
      <c r="K19">
        <f t="shared" si="11"/>
        <v>103</v>
      </c>
      <c r="L19">
        <f t="shared" si="11"/>
        <v>99</v>
      </c>
      <c r="M19">
        <f t="shared" si="11"/>
        <v>88</v>
      </c>
      <c r="N19">
        <f t="shared" si="11"/>
        <v>77</v>
      </c>
      <c r="O19">
        <f t="shared" si="11"/>
        <v>86</v>
      </c>
      <c r="R19">
        <f t="shared" si="12"/>
        <v>77</v>
      </c>
      <c r="S19">
        <v>3</v>
      </c>
    </row>
    <row r="20" spans="1:21" x14ac:dyDescent="0.25">
      <c r="A20">
        <v>5</v>
      </c>
      <c r="B20">
        <f t="shared" si="4"/>
        <v>5</v>
      </c>
      <c r="C20">
        <f t="shared" si="5"/>
        <v>7</v>
      </c>
      <c r="D20">
        <f t="shared" si="6"/>
        <v>113</v>
      </c>
      <c r="E20">
        <f t="shared" si="7"/>
        <v>118</v>
      </c>
      <c r="H20">
        <v>3</v>
      </c>
      <c r="I20">
        <f t="shared" si="9"/>
        <v>9</v>
      </c>
      <c r="K20">
        <f t="shared" si="11"/>
        <v>127</v>
      </c>
      <c r="L20">
        <f t="shared" si="11"/>
        <v>123</v>
      </c>
      <c r="M20">
        <f t="shared" si="11"/>
        <v>112</v>
      </c>
      <c r="N20">
        <f t="shared" si="11"/>
        <v>101</v>
      </c>
      <c r="O20">
        <f t="shared" si="11"/>
        <v>100</v>
      </c>
      <c r="P20">
        <f t="shared" si="11"/>
        <v>109</v>
      </c>
      <c r="R20">
        <f t="shared" si="12"/>
        <v>100</v>
      </c>
      <c r="S20">
        <v>4</v>
      </c>
    </row>
    <row r="21" spans="1:21" x14ac:dyDescent="0.25">
      <c r="A21">
        <v>6</v>
      </c>
      <c r="B21">
        <f t="shared" si="4"/>
        <v>6</v>
      </c>
      <c r="C21">
        <f t="shared" si="5"/>
        <v>8</v>
      </c>
      <c r="D21">
        <f t="shared" si="6"/>
        <v>133</v>
      </c>
      <c r="E21">
        <f t="shared" si="7"/>
        <v>139</v>
      </c>
      <c r="H21">
        <v>4</v>
      </c>
      <c r="I21">
        <f t="shared" si="9"/>
        <v>12</v>
      </c>
      <c r="K21">
        <f t="shared" si="11"/>
        <v>151</v>
      </c>
      <c r="L21">
        <f t="shared" si="11"/>
        <v>147</v>
      </c>
      <c r="M21">
        <f t="shared" si="11"/>
        <v>136</v>
      </c>
      <c r="N21">
        <f t="shared" si="11"/>
        <v>125</v>
      </c>
      <c r="O21">
        <f t="shared" si="11"/>
        <v>124</v>
      </c>
      <c r="P21">
        <f t="shared" si="11"/>
        <v>123</v>
      </c>
      <c r="Q21">
        <f t="shared" si="11"/>
        <v>132</v>
      </c>
      <c r="R21">
        <f t="shared" si="12"/>
        <v>123</v>
      </c>
      <c r="S21">
        <v>6</v>
      </c>
    </row>
    <row r="23" spans="1:21" x14ac:dyDescent="0.25">
      <c r="H23" t="s">
        <v>45</v>
      </c>
      <c r="I23" t="s">
        <v>46</v>
      </c>
      <c r="J23" t="s">
        <v>47</v>
      </c>
    </row>
    <row r="24" spans="1:21" ht="16.149999999999999" customHeight="1" x14ac:dyDescent="0.25">
      <c r="L24" s="54" t="s">
        <v>51</v>
      </c>
      <c r="M24" s="54"/>
      <c r="N24" s="54"/>
      <c r="P24" s="53" t="s">
        <v>44</v>
      </c>
      <c r="Q24" s="53"/>
      <c r="S24" s="53" t="s">
        <v>70</v>
      </c>
      <c r="T24" s="53"/>
      <c r="U24" t="s">
        <v>26</v>
      </c>
    </row>
    <row r="25" spans="1:21" x14ac:dyDescent="0.25">
      <c r="A25" t="s">
        <v>53</v>
      </c>
      <c r="B25" t="s">
        <v>24</v>
      </c>
      <c r="C25" t="s">
        <v>26</v>
      </c>
      <c r="D25" t="s">
        <v>27</v>
      </c>
      <c r="J25" t="s">
        <v>50</v>
      </c>
      <c r="K25">
        <v>0</v>
      </c>
      <c r="L25">
        <v>1</v>
      </c>
      <c r="M25">
        <v>2</v>
      </c>
      <c r="N25">
        <v>3</v>
      </c>
      <c r="O25">
        <v>4</v>
      </c>
      <c r="P25" s="53"/>
      <c r="Q25" s="53"/>
      <c r="S25" s="27"/>
      <c r="T25" s="27">
        <f>H27+4-N25</f>
        <v>1</v>
      </c>
      <c r="U25">
        <v>3</v>
      </c>
    </row>
    <row r="26" spans="1:21" x14ac:dyDescent="0.25">
      <c r="A26">
        <v>99</v>
      </c>
      <c r="B26">
        <v>2</v>
      </c>
      <c r="C26">
        <v>3</v>
      </c>
      <c r="D26">
        <v>3</v>
      </c>
      <c r="H26" t="s">
        <v>38</v>
      </c>
      <c r="I26" t="s">
        <v>48</v>
      </c>
      <c r="J26" t="s">
        <v>49</v>
      </c>
      <c r="K26">
        <f>VLOOKUP(K$25, $I$3:$M$11, 5, 0)</f>
        <v>0</v>
      </c>
      <c r="L26">
        <f t="shared" ref="L26:O26" si="13">VLOOKUP(L$25, $I$3:$M$11, 5, 0)</f>
        <v>16</v>
      </c>
      <c r="M26">
        <f t="shared" si="13"/>
        <v>26</v>
      </c>
      <c r="N26">
        <f t="shared" si="13"/>
        <v>36</v>
      </c>
      <c r="O26">
        <f t="shared" si="13"/>
        <v>56</v>
      </c>
      <c r="P26" t="s">
        <v>52</v>
      </c>
      <c r="Q26" t="s">
        <v>27</v>
      </c>
    </row>
    <row r="27" spans="1:21" x14ac:dyDescent="0.25">
      <c r="H27">
        <v>0</v>
      </c>
      <c r="I27">
        <v>0</v>
      </c>
      <c r="K27">
        <f>K$26+$I27+VLOOKUP($H27+$B$4-K$25,$H$17:$S$21,11,0)</f>
        <v>123</v>
      </c>
      <c r="L27">
        <f t="shared" ref="L27:O27" si="14">L$26+$I27+VLOOKUP($H27+$B$4-L$25,$H$17:$S$21,11,0)</f>
        <v>116</v>
      </c>
      <c r="M27">
        <f t="shared" si="14"/>
        <v>103</v>
      </c>
      <c r="N27">
        <f t="shared" si="14"/>
        <v>99</v>
      </c>
      <c r="O27">
        <f t="shared" si="14"/>
        <v>106</v>
      </c>
      <c r="P27">
        <f>MIN(K27:O27)</f>
        <v>99</v>
      </c>
      <c r="Q27">
        <v>3</v>
      </c>
      <c r="S27" s="54" t="s">
        <v>71</v>
      </c>
      <c r="T27" s="54"/>
      <c r="U27" t="s">
        <v>24</v>
      </c>
    </row>
    <row r="28" spans="1:21" x14ac:dyDescent="0.25">
      <c r="T28">
        <f>H18+2-N15</f>
        <v>0</v>
      </c>
      <c r="U28">
        <v>2</v>
      </c>
    </row>
  </sheetData>
  <mergeCells count="9">
    <mergeCell ref="S24:T24"/>
    <mergeCell ref="S27:T27"/>
    <mergeCell ref="F1:G1"/>
    <mergeCell ref="C13:D13"/>
    <mergeCell ref="L14:N14"/>
    <mergeCell ref="R14:S15"/>
    <mergeCell ref="L24:N24"/>
    <mergeCell ref="P24:Q25"/>
    <mergeCell ref="I1:M1"/>
  </mergeCells>
  <phoneticPr fontId="3" type="noConversion"/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Views>
    <sheetView topLeftCell="A17" workbookViewId="0">
      <selection activeCell="O40" sqref="O40"/>
    </sheetView>
  </sheetViews>
  <sheetFormatPr defaultRowHeight="15" x14ac:dyDescent="0.25"/>
  <sheetData>
    <row r="1" spans="1:14" x14ac:dyDescent="0.25">
      <c r="A1" s="13" t="s">
        <v>0</v>
      </c>
      <c r="B1" s="4" t="s">
        <v>1</v>
      </c>
      <c r="C1" s="4" t="s">
        <v>3</v>
      </c>
      <c r="D1" s="5" t="s">
        <v>2</v>
      </c>
      <c r="F1" s="69" t="s">
        <v>29</v>
      </c>
      <c r="G1" s="70"/>
      <c r="I1" s="68" t="s">
        <v>54</v>
      </c>
      <c r="J1" s="68"/>
      <c r="K1" s="68"/>
      <c r="L1" s="68"/>
      <c r="M1" s="68"/>
      <c r="N1" s="7"/>
    </row>
    <row r="2" spans="1:14" x14ac:dyDescent="0.25">
      <c r="A2" s="14">
        <v>1</v>
      </c>
      <c r="B2" s="15">
        <v>57</v>
      </c>
      <c r="C2" s="15">
        <v>5</v>
      </c>
      <c r="D2" s="16">
        <v>1</v>
      </c>
      <c r="F2" s="9" t="s">
        <v>19</v>
      </c>
      <c r="G2" s="19">
        <v>1</v>
      </c>
      <c r="I2" s="23" t="s">
        <v>4</v>
      </c>
      <c r="J2" s="24" t="s">
        <v>30</v>
      </c>
      <c r="K2" s="24" t="s">
        <v>5</v>
      </c>
      <c r="L2" s="24" t="s">
        <v>6</v>
      </c>
      <c r="M2" s="24" t="s">
        <v>7</v>
      </c>
      <c r="N2" s="26" t="s">
        <v>28</v>
      </c>
    </row>
    <row r="3" spans="1:14" x14ac:dyDescent="0.25">
      <c r="A3" s="14">
        <v>2</v>
      </c>
      <c r="B3" s="15">
        <v>2</v>
      </c>
      <c r="C3" s="15">
        <v>2</v>
      </c>
      <c r="D3" s="16">
        <v>2</v>
      </c>
      <c r="I3" s="6">
        <v>0</v>
      </c>
      <c r="J3" s="7">
        <f>IF($I3&lt;=6,1*$I3,6+2*($I3-6))</f>
        <v>0</v>
      </c>
      <c r="K3" s="7">
        <f>IF($J3=0,0,$J3+$B$2)</f>
        <v>0</v>
      </c>
      <c r="L3" s="7">
        <f>IF($J3=0,0,$J3+$B$3)</f>
        <v>0</v>
      </c>
      <c r="M3" s="7">
        <f>IF($J3=0,0,$J3+$B$4)</f>
        <v>0</v>
      </c>
      <c r="N3" s="8">
        <f>IF($J3=0,0,$J3+$B$5)</f>
        <v>0</v>
      </c>
    </row>
    <row r="4" spans="1:14" x14ac:dyDescent="0.25">
      <c r="A4" s="14">
        <v>3</v>
      </c>
      <c r="B4" s="15">
        <v>9</v>
      </c>
      <c r="C4" s="15">
        <v>3</v>
      </c>
      <c r="D4" s="16">
        <v>1</v>
      </c>
      <c r="I4" s="6">
        <v>1</v>
      </c>
      <c r="J4" s="7">
        <f t="shared" ref="J4:J16" si="0">IF($I4&lt;=6,1*$I4,6+2*($I4-6))</f>
        <v>1</v>
      </c>
      <c r="K4" s="7">
        <f t="shared" ref="K4:K16" si="1">IF($J4=0,0,$J4+$B$2)</f>
        <v>58</v>
      </c>
      <c r="L4" s="7">
        <f t="shared" ref="L4:L16" si="2">IF($J4=0,0,$J4+$B$3)</f>
        <v>3</v>
      </c>
      <c r="M4" s="7">
        <f t="shared" ref="M4:M16" si="3">IF($J4=0,0,$J4+$B$4)</f>
        <v>10</v>
      </c>
      <c r="N4" s="8">
        <f t="shared" ref="N4:N16" si="4">IF($J4=0,0,$J4+$B$5)</f>
        <v>8</v>
      </c>
    </row>
    <row r="5" spans="1:14" x14ac:dyDescent="0.25">
      <c r="A5" s="17">
        <v>4</v>
      </c>
      <c r="B5" s="18">
        <v>7</v>
      </c>
      <c r="C5" s="18">
        <v>3</v>
      </c>
      <c r="D5" s="19">
        <v>2</v>
      </c>
      <c r="I5" s="6">
        <v>2</v>
      </c>
      <c r="J5" s="7">
        <f t="shared" si="0"/>
        <v>2</v>
      </c>
      <c r="K5" s="7">
        <f t="shared" si="1"/>
        <v>59</v>
      </c>
      <c r="L5" s="7">
        <f t="shared" si="2"/>
        <v>4</v>
      </c>
      <c r="M5" s="7">
        <f t="shared" si="3"/>
        <v>11</v>
      </c>
      <c r="N5" s="8">
        <f t="shared" si="4"/>
        <v>9</v>
      </c>
    </row>
    <row r="6" spans="1:14" x14ac:dyDescent="0.25">
      <c r="I6" s="6">
        <v>3</v>
      </c>
      <c r="J6" s="7">
        <f t="shared" si="0"/>
        <v>3</v>
      </c>
      <c r="K6" s="7">
        <f t="shared" si="1"/>
        <v>60</v>
      </c>
      <c r="L6" s="7">
        <f t="shared" si="2"/>
        <v>5</v>
      </c>
      <c r="M6" s="7">
        <f t="shared" si="3"/>
        <v>12</v>
      </c>
      <c r="N6" s="8">
        <f t="shared" si="4"/>
        <v>10</v>
      </c>
    </row>
    <row r="7" spans="1:14" x14ac:dyDescent="0.25">
      <c r="A7" s="3"/>
      <c r="B7" s="3"/>
      <c r="I7" s="6">
        <v>4</v>
      </c>
      <c r="J7" s="7">
        <f t="shared" si="0"/>
        <v>4</v>
      </c>
      <c r="K7" s="7">
        <f t="shared" si="1"/>
        <v>61</v>
      </c>
      <c r="L7" s="7">
        <f t="shared" si="2"/>
        <v>6</v>
      </c>
      <c r="M7" s="7">
        <f t="shared" si="3"/>
        <v>13</v>
      </c>
      <c r="N7" s="8">
        <f t="shared" si="4"/>
        <v>11</v>
      </c>
    </row>
    <row r="8" spans="1:14" x14ac:dyDescent="0.25">
      <c r="A8" s="21" t="s">
        <v>32</v>
      </c>
      <c r="B8" s="22" t="s">
        <v>55</v>
      </c>
      <c r="C8" s="71" t="s">
        <v>56</v>
      </c>
      <c r="D8" s="71"/>
      <c r="E8" s="15"/>
      <c r="I8" s="6">
        <v>5</v>
      </c>
      <c r="J8" s="7">
        <f t="shared" si="0"/>
        <v>5</v>
      </c>
      <c r="K8" s="7">
        <f t="shared" si="1"/>
        <v>62</v>
      </c>
      <c r="L8" s="7">
        <f t="shared" si="2"/>
        <v>7</v>
      </c>
      <c r="M8" s="7">
        <f t="shared" si="3"/>
        <v>14</v>
      </c>
      <c r="N8" s="8">
        <f t="shared" si="4"/>
        <v>12</v>
      </c>
    </row>
    <row r="9" spans="1:14" x14ac:dyDescent="0.25">
      <c r="A9" s="23" t="s">
        <v>11</v>
      </c>
      <c r="B9" s="24" t="s">
        <v>22</v>
      </c>
      <c r="C9" s="24" t="s">
        <v>20</v>
      </c>
      <c r="D9" s="24" t="s">
        <v>5</v>
      </c>
      <c r="E9" s="26" t="s">
        <v>34</v>
      </c>
      <c r="I9" s="6">
        <v>6</v>
      </c>
      <c r="J9" s="7">
        <f t="shared" si="0"/>
        <v>6</v>
      </c>
      <c r="K9" s="7">
        <f t="shared" si="1"/>
        <v>63</v>
      </c>
      <c r="L9" s="7">
        <f t="shared" si="2"/>
        <v>8</v>
      </c>
      <c r="M9" s="7">
        <f t="shared" si="3"/>
        <v>15</v>
      </c>
      <c r="N9" s="8">
        <f t="shared" si="4"/>
        <v>13</v>
      </c>
    </row>
    <row r="10" spans="1:14" x14ac:dyDescent="0.25">
      <c r="A10" s="6">
        <v>0</v>
      </c>
      <c r="B10" s="7">
        <f>$D$2*A10</f>
        <v>0</v>
      </c>
      <c r="C10" s="7">
        <f>$C$2+A10-$G$2</f>
        <v>4</v>
      </c>
      <c r="D10" s="7">
        <f>VLOOKUP(C10, $I$3:$N$16, 3, 0)</f>
        <v>61</v>
      </c>
      <c r="E10" s="8">
        <f>D10+B10</f>
        <v>61</v>
      </c>
      <c r="I10" s="6">
        <v>7</v>
      </c>
      <c r="J10" s="7">
        <f t="shared" si="0"/>
        <v>8</v>
      </c>
      <c r="K10" s="7">
        <f t="shared" si="1"/>
        <v>65</v>
      </c>
      <c r="L10" s="7">
        <f t="shared" si="2"/>
        <v>10</v>
      </c>
      <c r="M10" s="7">
        <f t="shared" si="3"/>
        <v>17</v>
      </c>
      <c r="N10" s="8">
        <f t="shared" si="4"/>
        <v>15</v>
      </c>
    </row>
    <row r="11" spans="1:14" x14ac:dyDescent="0.25">
      <c r="A11" s="6">
        <v>1</v>
      </c>
      <c r="B11" s="7">
        <f t="shared" ref="B11:B18" si="5">$D$2*A11</f>
        <v>1</v>
      </c>
      <c r="C11" s="7">
        <f t="shared" ref="C11:C18" si="6">$C$2+A11-$G$2</f>
        <v>5</v>
      </c>
      <c r="D11" s="7">
        <f t="shared" ref="D11:D18" si="7">VLOOKUP(C11, $I$3:$N$16, 3, 0)</f>
        <v>62</v>
      </c>
      <c r="E11" s="8">
        <f t="shared" ref="E11:E18" si="8">D11+B11</f>
        <v>63</v>
      </c>
      <c r="I11" s="6">
        <v>8</v>
      </c>
      <c r="J11" s="7">
        <f t="shared" si="0"/>
        <v>10</v>
      </c>
      <c r="K11" s="7">
        <f t="shared" si="1"/>
        <v>67</v>
      </c>
      <c r="L11" s="7">
        <f t="shared" si="2"/>
        <v>12</v>
      </c>
      <c r="M11" s="7">
        <f t="shared" si="3"/>
        <v>19</v>
      </c>
      <c r="N11" s="8">
        <f t="shared" si="4"/>
        <v>17</v>
      </c>
    </row>
    <row r="12" spans="1:14" x14ac:dyDescent="0.25">
      <c r="A12" s="6">
        <v>2</v>
      </c>
      <c r="B12" s="7">
        <f t="shared" si="5"/>
        <v>2</v>
      </c>
      <c r="C12" s="7">
        <f t="shared" si="6"/>
        <v>6</v>
      </c>
      <c r="D12" s="7">
        <f t="shared" si="7"/>
        <v>63</v>
      </c>
      <c r="E12" s="8">
        <f t="shared" si="8"/>
        <v>65</v>
      </c>
      <c r="I12" s="6">
        <v>9</v>
      </c>
      <c r="J12" s="7">
        <f t="shared" si="0"/>
        <v>12</v>
      </c>
      <c r="K12" s="7">
        <f t="shared" si="1"/>
        <v>69</v>
      </c>
      <c r="L12" s="7">
        <f t="shared" si="2"/>
        <v>14</v>
      </c>
      <c r="M12" s="7">
        <f t="shared" si="3"/>
        <v>21</v>
      </c>
      <c r="N12" s="8">
        <f t="shared" si="4"/>
        <v>19</v>
      </c>
    </row>
    <row r="13" spans="1:14" x14ac:dyDescent="0.25">
      <c r="A13" s="6">
        <v>3</v>
      </c>
      <c r="B13" s="7">
        <f t="shared" si="5"/>
        <v>3</v>
      </c>
      <c r="C13" s="7">
        <f t="shared" si="6"/>
        <v>7</v>
      </c>
      <c r="D13" s="7">
        <f t="shared" si="7"/>
        <v>65</v>
      </c>
      <c r="E13" s="8">
        <f t="shared" si="8"/>
        <v>68</v>
      </c>
      <c r="I13" s="6">
        <v>10</v>
      </c>
      <c r="J13" s="7">
        <f t="shared" si="0"/>
        <v>14</v>
      </c>
      <c r="K13" s="7">
        <f t="shared" si="1"/>
        <v>71</v>
      </c>
      <c r="L13" s="7">
        <f t="shared" si="2"/>
        <v>16</v>
      </c>
      <c r="M13" s="7">
        <f t="shared" si="3"/>
        <v>23</v>
      </c>
      <c r="N13" s="8">
        <f t="shared" si="4"/>
        <v>21</v>
      </c>
    </row>
    <row r="14" spans="1:14" x14ac:dyDescent="0.25">
      <c r="A14" s="6">
        <v>4</v>
      </c>
      <c r="B14" s="7">
        <f t="shared" si="5"/>
        <v>4</v>
      </c>
      <c r="C14" s="7">
        <f t="shared" si="6"/>
        <v>8</v>
      </c>
      <c r="D14" s="7">
        <f t="shared" si="7"/>
        <v>67</v>
      </c>
      <c r="E14" s="8">
        <f t="shared" si="8"/>
        <v>71</v>
      </c>
      <c r="I14" s="6">
        <v>11</v>
      </c>
      <c r="J14" s="7">
        <f t="shared" si="0"/>
        <v>16</v>
      </c>
      <c r="K14" s="7">
        <f t="shared" si="1"/>
        <v>73</v>
      </c>
      <c r="L14" s="7">
        <f t="shared" si="2"/>
        <v>18</v>
      </c>
      <c r="M14" s="7">
        <f t="shared" si="3"/>
        <v>25</v>
      </c>
      <c r="N14" s="8">
        <f t="shared" si="4"/>
        <v>23</v>
      </c>
    </row>
    <row r="15" spans="1:14" x14ac:dyDescent="0.25">
      <c r="A15" s="6">
        <v>5</v>
      </c>
      <c r="B15" s="7">
        <f t="shared" si="5"/>
        <v>5</v>
      </c>
      <c r="C15" s="7">
        <f t="shared" si="6"/>
        <v>9</v>
      </c>
      <c r="D15" s="7">
        <f t="shared" si="7"/>
        <v>69</v>
      </c>
      <c r="E15" s="8">
        <f t="shared" si="8"/>
        <v>74</v>
      </c>
      <c r="I15" s="6">
        <v>12</v>
      </c>
      <c r="J15" s="7">
        <f t="shared" si="0"/>
        <v>18</v>
      </c>
      <c r="K15" s="7">
        <f t="shared" si="1"/>
        <v>75</v>
      </c>
      <c r="L15" s="7">
        <f t="shared" si="2"/>
        <v>20</v>
      </c>
      <c r="M15" s="7">
        <f t="shared" si="3"/>
        <v>27</v>
      </c>
      <c r="N15" s="8">
        <f t="shared" si="4"/>
        <v>25</v>
      </c>
    </row>
    <row r="16" spans="1:14" x14ac:dyDescent="0.25">
      <c r="A16" s="6">
        <v>6</v>
      </c>
      <c r="B16" s="7">
        <f t="shared" si="5"/>
        <v>6</v>
      </c>
      <c r="C16" s="7">
        <f t="shared" si="6"/>
        <v>10</v>
      </c>
      <c r="D16" s="7">
        <f t="shared" si="7"/>
        <v>71</v>
      </c>
      <c r="E16" s="8">
        <f t="shared" si="8"/>
        <v>77</v>
      </c>
      <c r="I16" s="9">
        <v>13</v>
      </c>
      <c r="J16" s="10">
        <f t="shared" si="0"/>
        <v>20</v>
      </c>
      <c r="K16" s="10">
        <f t="shared" si="1"/>
        <v>77</v>
      </c>
      <c r="L16" s="10">
        <f t="shared" si="2"/>
        <v>22</v>
      </c>
      <c r="M16" s="10">
        <f t="shared" si="3"/>
        <v>29</v>
      </c>
      <c r="N16" s="11">
        <f t="shared" si="4"/>
        <v>27</v>
      </c>
    </row>
    <row r="17" spans="1:19" x14ac:dyDescent="0.25">
      <c r="A17" s="6">
        <v>7</v>
      </c>
      <c r="B17" s="7">
        <f t="shared" si="5"/>
        <v>7</v>
      </c>
      <c r="C17" s="7">
        <f t="shared" si="6"/>
        <v>11</v>
      </c>
      <c r="D17" s="7">
        <f t="shared" si="7"/>
        <v>73</v>
      </c>
      <c r="E17" s="8">
        <f t="shared" si="8"/>
        <v>80</v>
      </c>
    </row>
    <row r="18" spans="1:19" x14ac:dyDescent="0.25">
      <c r="A18" s="9">
        <v>8</v>
      </c>
      <c r="B18" s="10">
        <f t="shared" si="5"/>
        <v>8</v>
      </c>
      <c r="C18" s="10">
        <f t="shared" si="6"/>
        <v>12</v>
      </c>
      <c r="D18" s="10">
        <f t="shared" si="7"/>
        <v>75</v>
      </c>
      <c r="E18" s="11">
        <f t="shared" si="8"/>
        <v>83</v>
      </c>
    </row>
    <row r="20" spans="1:19" x14ac:dyDescent="0.25">
      <c r="A20" t="s">
        <v>35</v>
      </c>
      <c r="B20" s="1" t="s">
        <v>36</v>
      </c>
      <c r="C20" s="54" t="s">
        <v>58</v>
      </c>
      <c r="D20" s="54"/>
    </row>
    <row r="21" spans="1:19" ht="14.45" customHeight="1" x14ac:dyDescent="0.25">
      <c r="A21" s="23"/>
      <c r="B21" s="24"/>
      <c r="C21" s="24"/>
      <c r="D21" s="24"/>
      <c r="E21" s="25"/>
      <c r="F21" s="25"/>
      <c r="G21" s="25"/>
      <c r="H21" s="60" t="s">
        <v>42</v>
      </c>
      <c r="I21" s="60"/>
      <c r="J21" s="60"/>
      <c r="K21" s="24"/>
      <c r="L21" s="26"/>
      <c r="M21" s="61" t="s">
        <v>44</v>
      </c>
      <c r="N21" s="62"/>
      <c r="P21" s="69" t="s">
        <v>72</v>
      </c>
      <c r="Q21" s="72"/>
      <c r="R21" s="12" t="s">
        <v>27</v>
      </c>
    </row>
    <row r="22" spans="1:19" x14ac:dyDescent="0.25">
      <c r="A22" s="6"/>
      <c r="B22" s="7"/>
      <c r="C22" s="7" t="s">
        <v>40</v>
      </c>
      <c r="D22" s="20">
        <v>0</v>
      </c>
      <c r="E22" s="7">
        <v>1</v>
      </c>
      <c r="F22" s="7">
        <v>2</v>
      </c>
      <c r="G22" s="7">
        <v>3</v>
      </c>
      <c r="H22" s="7">
        <v>4</v>
      </c>
      <c r="I22" s="7">
        <v>5</v>
      </c>
      <c r="J22" s="7">
        <v>6</v>
      </c>
      <c r="K22" s="7">
        <v>7</v>
      </c>
      <c r="L22" s="7">
        <v>8</v>
      </c>
      <c r="M22" s="63"/>
      <c r="N22" s="64"/>
      <c r="P22" s="9"/>
      <c r="Q22" s="10">
        <f>N36+3-Q34</f>
        <v>3</v>
      </c>
      <c r="R22" s="11">
        <v>6</v>
      </c>
    </row>
    <row r="23" spans="1:19" x14ac:dyDescent="0.25">
      <c r="A23" s="9" t="s">
        <v>8</v>
      </c>
      <c r="B23" s="10" t="s">
        <v>15</v>
      </c>
      <c r="C23" s="10" t="s">
        <v>41</v>
      </c>
      <c r="D23" s="9">
        <f>VLOOKUP(D22, $I$3:$N$16, 4, 0)</f>
        <v>0</v>
      </c>
      <c r="E23" s="10">
        <f t="shared" ref="E23:L23" si="9">VLOOKUP(E22, $I$3:$N$16, 4, 0)</f>
        <v>3</v>
      </c>
      <c r="F23" s="10">
        <f t="shared" si="9"/>
        <v>4</v>
      </c>
      <c r="G23" s="10">
        <f t="shared" si="9"/>
        <v>5</v>
      </c>
      <c r="H23" s="10">
        <f t="shared" si="9"/>
        <v>6</v>
      </c>
      <c r="I23" s="10">
        <f t="shared" si="9"/>
        <v>7</v>
      </c>
      <c r="J23" s="10">
        <f t="shared" si="9"/>
        <v>8</v>
      </c>
      <c r="K23" s="10">
        <f t="shared" si="9"/>
        <v>10</v>
      </c>
      <c r="L23" s="11">
        <f t="shared" si="9"/>
        <v>12</v>
      </c>
      <c r="M23" s="23" t="s">
        <v>43</v>
      </c>
      <c r="N23" s="26" t="s">
        <v>26</v>
      </c>
      <c r="P23" s="67" t="s">
        <v>70</v>
      </c>
      <c r="Q23" s="68"/>
      <c r="R23" s="8" t="s">
        <v>26</v>
      </c>
    </row>
    <row r="24" spans="1:19" x14ac:dyDescent="0.25">
      <c r="A24" s="6">
        <v>0</v>
      </c>
      <c r="B24" s="7">
        <f>$D$3*A24</f>
        <v>0</v>
      </c>
      <c r="C24" s="7"/>
      <c r="D24" s="6">
        <f>IF(($A24+$C$3-D$22)&lt;0,"",D$23+$B24+VLOOKUP($A24+$C$3-D$22,$A$10:$E$18,5,0))</f>
        <v>65</v>
      </c>
      <c r="E24" s="6">
        <f t="shared" ref="E24:L30" si="10">IF(($A24+$C$3-E$22)&lt;0,"",E$23+$B24+VLOOKUP($A24+$C$3-E$22,$A$10:$E$18,5,0))</f>
        <v>66</v>
      </c>
      <c r="F24" s="6">
        <f t="shared" si="10"/>
        <v>65</v>
      </c>
      <c r="G24" s="6" t="str">
        <f t="shared" si="10"/>
        <v/>
      </c>
      <c r="H24" s="6" t="str">
        <f t="shared" si="10"/>
        <v/>
      </c>
      <c r="I24" s="6" t="str">
        <f t="shared" si="10"/>
        <v/>
      </c>
      <c r="J24" s="6" t="str">
        <f t="shared" si="10"/>
        <v/>
      </c>
      <c r="K24" s="6" t="str">
        <f t="shared" si="10"/>
        <v/>
      </c>
      <c r="L24" s="6" t="str">
        <f t="shared" si="10"/>
        <v/>
      </c>
      <c r="M24" s="6">
        <f>MIN(D24:L24)</f>
        <v>65</v>
      </c>
      <c r="N24" s="8">
        <v>2</v>
      </c>
      <c r="P24" s="29"/>
      <c r="Q24" s="30">
        <f>A39+3-J34</f>
        <v>0</v>
      </c>
      <c r="R24" s="11">
        <v>2</v>
      </c>
    </row>
    <row r="25" spans="1:19" x14ac:dyDescent="0.25">
      <c r="A25" s="6">
        <v>1</v>
      </c>
      <c r="B25" s="7">
        <f t="shared" ref="B25:B30" si="11">$D$3*A25</f>
        <v>2</v>
      </c>
      <c r="C25" s="7"/>
      <c r="D25" s="6">
        <f t="shared" ref="D25:D30" si="12">IF(($A25+$C$3-D$22)&lt;0,"",D$23+$B25+VLOOKUP($A25+$C$3-D$22,$A$10:$E$18,5,0))</f>
        <v>70</v>
      </c>
      <c r="E25" s="6">
        <f t="shared" si="10"/>
        <v>70</v>
      </c>
      <c r="F25" s="6">
        <f t="shared" si="10"/>
        <v>69</v>
      </c>
      <c r="G25" s="6">
        <f t="shared" si="10"/>
        <v>68</v>
      </c>
      <c r="H25" s="6" t="str">
        <f t="shared" si="10"/>
        <v/>
      </c>
      <c r="I25" s="6" t="str">
        <f t="shared" si="10"/>
        <v/>
      </c>
      <c r="J25" s="6" t="str">
        <f t="shared" si="10"/>
        <v/>
      </c>
      <c r="K25" s="6" t="str">
        <f t="shared" si="10"/>
        <v/>
      </c>
      <c r="L25" s="6" t="str">
        <f t="shared" si="10"/>
        <v/>
      </c>
      <c r="M25" s="6">
        <f t="shared" ref="M25:M30" si="13">MIN(D25:L25)</f>
        <v>68</v>
      </c>
      <c r="N25" s="8">
        <v>3</v>
      </c>
      <c r="P25" s="67" t="s">
        <v>71</v>
      </c>
      <c r="Q25" s="68"/>
      <c r="R25" s="8" t="s">
        <v>24</v>
      </c>
    </row>
    <row r="26" spans="1:19" x14ac:dyDescent="0.25">
      <c r="A26" s="6">
        <v>2</v>
      </c>
      <c r="B26" s="7">
        <f t="shared" si="11"/>
        <v>4</v>
      </c>
      <c r="C26" s="7"/>
      <c r="D26" s="6">
        <f t="shared" si="12"/>
        <v>75</v>
      </c>
      <c r="E26" s="6">
        <f t="shared" si="10"/>
        <v>75</v>
      </c>
      <c r="F26" s="6">
        <f t="shared" si="10"/>
        <v>73</v>
      </c>
      <c r="G26" s="6">
        <f t="shared" si="10"/>
        <v>72</v>
      </c>
      <c r="H26" s="6">
        <f t="shared" si="10"/>
        <v>71</v>
      </c>
      <c r="I26" s="6" t="str">
        <f t="shared" si="10"/>
        <v/>
      </c>
      <c r="J26" s="6" t="str">
        <f t="shared" si="10"/>
        <v/>
      </c>
      <c r="K26" s="6" t="str">
        <f t="shared" si="10"/>
        <v/>
      </c>
      <c r="L26" s="6" t="str">
        <f t="shared" si="10"/>
        <v/>
      </c>
      <c r="M26" s="6">
        <f t="shared" si="13"/>
        <v>71</v>
      </c>
      <c r="N26" s="8">
        <v>4</v>
      </c>
      <c r="P26" s="9"/>
      <c r="Q26" s="10">
        <f>A24+2-F22</f>
        <v>0</v>
      </c>
      <c r="R26" s="11">
        <v>4</v>
      </c>
    </row>
    <row r="27" spans="1:19" x14ac:dyDescent="0.25">
      <c r="A27" s="6">
        <v>3</v>
      </c>
      <c r="B27" s="7">
        <f t="shared" si="11"/>
        <v>6</v>
      </c>
      <c r="C27" s="7"/>
      <c r="D27" s="6">
        <f t="shared" si="12"/>
        <v>80</v>
      </c>
      <c r="E27" s="6">
        <f t="shared" si="10"/>
        <v>80</v>
      </c>
      <c r="F27" s="6">
        <f t="shared" si="10"/>
        <v>78</v>
      </c>
      <c r="G27" s="6">
        <f t="shared" si="10"/>
        <v>76</v>
      </c>
      <c r="H27" s="6">
        <f t="shared" si="10"/>
        <v>75</v>
      </c>
      <c r="I27" s="6">
        <f t="shared" si="10"/>
        <v>74</v>
      </c>
      <c r="J27" s="6" t="str">
        <f t="shared" si="10"/>
        <v/>
      </c>
      <c r="K27" s="6" t="str">
        <f t="shared" si="10"/>
        <v/>
      </c>
      <c r="L27" s="6" t="str">
        <f t="shared" si="10"/>
        <v/>
      </c>
      <c r="M27" s="6">
        <f t="shared" si="13"/>
        <v>74</v>
      </c>
      <c r="N27" s="8">
        <v>5</v>
      </c>
      <c r="P27" s="28"/>
      <c r="Q27" s="28"/>
      <c r="R27" s="7"/>
      <c r="S27" s="7"/>
    </row>
    <row r="28" spans="1:19" x14ac:dyDescent="0.25">
      <c r="A28" s="6">
        <v>4</v>
      </c>
      <c r="B28" s="7">
        <f t="shared" si="11"/>
        <v>8</v>
      </c>
      <c r="C28" s="7"/>
      <c r="D28" s="6">
        <f t="shared" si="12"/>
        <v>85</v>
      </c>
      <c r="E28" s="6">
        <f t="shared" si="10"/>
        <v>85</v>
      </c>
      <c r="F28" s="6">
        <f t="shared" si="10"/>
        <v>83</v>
      </c>
      <c r="G28" s="6">
        <f t="shared" si="10"/>
        <v>81</v>
      </c>
      <c r="H28" s="6">
        <f t="shared" si="10"/>
        <v>79</v>
      </c>
      <c r="I28" s="6">
        <f t="shared" si="10"/>
        <v>78</v>
      </c>
      <c r="J28" s="6">
        <f t="shared" si="10"/>
        <v>77</v>
      </c>
      <c r="K28" s="6" t="str">
        <f t="shared" si="10"/>
        <v/>
      </c>
      <c r="L28" s="6" t="str">
        <f t="shared" si="10"/>
        <v/>
      </c>
      <c r="M28" s="6">
        <f t="shared" si="13"/>
        <v>77</v>
      </c>
      <c r="N28" s="8">
        <v>6</v>
      </c>
      <c r="P28" s="7"/>
      <c r="Q28" s="7"/>
      <c r="R28" s="7"/>
      <c r="S28" s="7"/>
    </row>
    <row r="29" spans="1:19" x14ac:dyDescent="0.25">
      <c r="A29" s="6">
        <v>5</v>
      </c>
      <c r="B29" s="7">
        <f t="shared" si="11"/>
        <v>10</v>
      </c>
      <c r="C29" s="7"/>
      <c r="D29" s="6">
        <f t="shared" si="12"/>
        <v>90</v>
      </c>
      <c r="E29" s="6">
        <f t="shared" si="10"/>
        <v>90</v>
      </c>
      <c r="F29" s="6">
        <f t="shared" si="10"/>
        <v>88</v>
      </c>
      <c r="G29" s="6">
        <f t="shared" si="10"/>
        <v>86</v>
      </c>
      <c r="H29" s="6">
        <f t="shared" si="10"/>
        <v>84</v>
      </c>
      <c r="I29" s="6">
        <f t="shared" si="10"/>
        <v>82</v>
      </c>
      <c r="J29" s="6">
        <f t="shared" si="10"/>
        <v>81</v>
      </c>
      <c r="K29" s="6">
        <f t="shared" si="10"/>
        <v>81</v>
      </c>
      <c r="L29" s="6" t="str">
        <f t="shared" si="10"/>
        <v/>
      </c>
      <c r="M29" s="6">
        <f t="shared" si="13"/>
        <v>81</v>
      </c>
      <c r="N29" s="8">
        <v>6</v>
      </c>
    </row>
    <row r="30" spans="1:19" x14ac:dyDescent="0.25">
      <c r="A30" s="9">
        <v>6</v>
      </c>
      <c r="B30" s="10">
        <f t="shared" si="11"/>
        <v>12</v>
      </c>
      <c r="C30" s="10"/>
      <c r="D30" s="9">
        <f t="shared" si="12"/>
        <v>95</v>
      </c>
      <c r="E30" s="9">
        <f t="shared" si="10"/>
        <v>95</v>
      </c>
      <c r="F30" s="9">
        <f t="shared" si="10"/>
        <v>93</v>
      </c>
      <c r="G30" s="9">
        <f t="shared" si="10"/>
        <v>91</v>
      </c>
      <c r="H30" s="9">
        <f t="shared" si="10"/>
        <v>89</v>
      </c>
      <c r="I30" s="9">
        <f t="shared" si="10"/>
        <v>87</v>
      </c>
      <c r="J30" s="9">
        <f t="shared" si="10"/>
        <v>85</v>
      </c>
      <c r="K30" s="9">
        <f t="shared" si="10"/>
        <v>85</v>
      </c>
      <c r="L30" s="31">
        <f t="shared" si="10"/>
        <v>85</v>
      </c>
      <c r="M30" s="9">
        <f t="shared" si="13"/>
        <v>85</v>
      </c>
      <c r="N30" s="11">
        <v>7</v>
      </c>
    </row>
    <row r="32" spans="1:19" x14ac:dyDescent="0.25">
      <c r="A32" t="s">
        <v>45</v>
      </c>
      <c r="B32" s="1" t="s">
        <v>59</v>
      </c>
      <c r="C32" t="s">
        <v>60</v>
      </c>
      <c r="N32" t="s">
        <v>62</v>
      </c>
      <c r="O32" s="1" t="s">
        <v>63</v>
      </c>
      <c r="P32" t="s">
        <v>64</v>
      </c>
    </row>
    <row r="33" spans="1:22" x14ac:dyDescent="0.25">
      <c r="A33" s="23"/>
      <c r="B33" s="24"/>
      <c r="C33" s="24"/>
      <c r="D33" s="24"/>
      <c r="E33" s="24"/>
      <c r="F33" s="59" t="s">
        <v>51</v>
      </c>
      <c r="G33" s="59"/>
      <c r="H33" s="59"/>
      <c r="I33" s="24"/>
      <c r="J33" s="26"/>
      <c r="K33" s="65" t="s">
        <v>44</v>
      </c>
      <c r="L33" s="56"/>
      <c r="N33" s="23"/>
      <c r="O33" s="24"/>
      <c r="P33" s="24"/>
      <c r="Q33" s="59" t="s">
        <v>67</v>
      </c>
      <c r="R33" s="59"/>
      <c r="S33" s="59"/>
      <c r="T33" s="24"/>
      <c r="U33" s="55" t="s">
        <v>44</v>
      </c>
      <c r="V33" s="56"/>
    </row>
    <row r="34" spans="1:22" x14ac:dyDescent="0.25">
      <c r="A34" s="6"/>
      <c r="B34" s="7"/>
      <c r="C34" s="12" t="s">
        <v>50</v>
      </c>
      <c r="D34" s="7">
        <v>0</v>
      </c>
      <c r="E34" s="7">
        <v>1</v>
      </c>
      <c r="F34" s="7">
        <v>2</v>
      </c>
      <c r="G34" s="7">
        <v>3</v>
      </c>
      <c r="H34" s="7">
        <v>4</v>
      </c>
      <c r="I34" s="7">
        <v>5</v>
      </c>
      <c r="J34" s="8">
        <v>6</v>
      </c>
      <c r="K34" s="66"/>
      <c r="L34" s="58"/>
      <c r="N34" s="6"/>
      <c r="O34" s="7"/>
      <c r="P34" s="7" t="s">
        <v>66</v>
      </c>
      <c r="Q34" s="6">
        <v>0</v>
      </c>
      <c r="R34" s="7">
        <v>1</v>
      </c>
      <c r="S34" s="7">
        <v>2</v>
      </c>
      <c r="T34" s="7">
        <v>3</v>
      </c>
      <c r="U34" s="57"/>
      <c r="V34" s="58"/>
    </row>
    <row r="35" spans="1:22" x14ac:dyDescent="0.25">
      <c r="A35" s="9" t="s">
        <v>38</v>
      </c>
      <c r="B35" s="10" t="s">
        <v>48</v>
      </c>
      <c r="C35" s="11" t="s">
        <v>61</v>
      </c>
      <c r="D35" s="10">
        <f>VLOOKUP(D34, $I$3:$N$16, 5, 0)</f>
        <v>0</v>
      </c>
      <c r="E35" s="10">
        <f t="shared" ref="E35:J35" si="14">VLOOKUP(E34, $I$3:$N$16, 5, 0)</f>
        <v>10</v>
      </c>
      <c r="F35" s="10">
        <f t="shared" si="14"/>
        <v>11</v>
      </c>
      <c r="G35" s="10">
        <f t="shared" si="14"/>
        <v>12</v>
      </c>
      <c r="H35" s="10">
        <f t="shared" si="14"/>
        <v>13</v>
      </c>
      <c r="I35" s="10">
        <f t="shared" si="14"/>
        <v>14</v>
      </c>
      <c r="J35" s="11">
        <f t="shared" si="14"/>
        <v>15</v>
      </c>
      <c r="K35" s="24" t="s">
        <v>52</v>
      </c>
      <c r="L35" s="26" t="s">
        <v>27</v>
      </c>
      <c r="N35" s="9" t="s">
        <v>39</v>
      </c>
      <c r="O35" s="10" t="s">
        <v>65</v>
      </c>
      <c r="P35" s="10" t="s">
        <v>61</v>
      </c>
      <c r="Q35" s="9">
        <f>VLOOKUP(Q34, $I$3:$N$16, 6, 0)</f>
        <v>0</v>
      </c>
      <c r="R35" s="10">
        <f t="shared" ref="R35:T35" si="15">VLOOKUP(R34, $I$3:$N$16, 6, 0)</f>
        <v>8</v>
      </c>
      <c r="S35" s="10">
        <f t="shared" si="15"/>
        <v>9</v>
      </c>
      <c r="T35" s="10">
        <f t="shared" si="15"/>
        <v>10</v>
      </c>
      <c r="U35" s="23" t="s">
        <v>68</v>
      </c>
      <c r="V35" s="26" t="s">
        <v>69</v>
      </c>
    </row>
    <row r="36" spans="1:22" x14ac:dyDescent="0.25">
      <c r="A36" s="6">
        <v>0</v>
      </c>
      <c r="B36" s="7">
        <f>$D$4*A36</f>
        <v>0</v>
      </c>
      <c r="C36" s="8"/>
      <c r="D36" s="32">
        <f>IF(($A36+$C$4-D$34)&lt;0,"",D$35+$B36+VLOOKUP($A36+$C$4-D$34,$A$24:$N$30,13,0))</f>
        <v>74</v>
      </c>
      <c r="E36" s="32">
        <f t="shared" ref="E36:J39" si="16">IF(($A36+$C$4-E$34)&lt;0,"",E$35+$B36+VLOOKUP($A36+$C$4-E$34,$A$24:$N$30,13,0))</f>
        <v>81</v>
      </c>
      <c r="F36" s="32">
        <f t="shared" si="16"/>
        <v>79</v>
      </c>
      <c r="G36" s="32">
        <f t="shared" si="16"/>
        <v>77</v>
      </c>
      <c r="H36" s="32" t="str">
        <f t="shared" si="16"/>
        <v/>
      </c>
      <c r="I36" s="32" t="str">
        <f t="shared" si="16"/>
        <v/>
      </c>
      <c r="J36" s="32" t="str">
        <f t="shared" si="16"/>
        <v/>
      </c>
      <c r="K36" s="7">
        <f>MIN(D36:J36)</f>
        <v>74</v>
      </c>
      <c r="L36" s="8">
        <v>0</v>
      </c>
      <c r="N36" s="9">
        <v>0</v>
      </c>
      <c r="O36" s="10">
        <f>D5*N36</f>
        <v>0</v>
      </c>
      <c r="P36" s="10"/>
      <c r="Q36" s="9">
        <f>Q$35+$O36+VLOOKUP($N36+$C$5-Q$34,$A$36:$L$39,11,0)</f>
        <v>83</v>
      </c>
      <c r="R36" s="10">
        <f t="shared" ref="R36:T36" si="17">R$35+$O36+VLOOKUP($N36+$C$5-R$34,$A$36:$L$39,11,0)</f>
        <v>89</v>
      </c>
      <c r="S36" s="10">
        <f t="shared" si="17"/>
        <v>87</v>
      </c>
      <c r="T36" s="10">
        <f t="shared" si="17"/>
        <v>84</v>
      </c>
      <c r="U36" s="9">
        <f>MIN(Q36:T36)</f>
        <v>83</v>
      </c>
      <c r="V36" s="11">
        <v>0</v>
      </c>
    </row>
    <row r="37" spans="1:22" x14ac:dyDescent="0.25">
      <c r="A37" s="6">
        <v>1</v>
      </c>
      <c r="B37" s="7">
        <f t="shared" ref="B37:B39" si="18">$D$4*A37</f>
        <v>1</v>
      </c>
      <c r="C37" s="8"/>
      <c r="D37" s="33">
        <f t="shared" ref="D37:D39" si="19">IF(($A37+$C$4-D$34)&lt;0,"",D$35+$B37+VLOOKUP($A37+$C$4-D$34,$A$24:$N$30,13,0))</f>
        <v>78</v>
      </c>
      <c r="E37" s="33">
        <f t="shared" si="16"/>
        <v>85</v>
      </c>
      <c r="F37" s="33">
        <f t="shared" si="16"/>
        <v>83</v>
      </c>
      <c r="G37" s="33">
        <f t="shared" si="16"/>
        <v>81</v>
      </c>
      <c r="H37" s="33">
        <f t="shared" si="16"/>
        <v>79</v>
      </c>
      <c r="I37" s="33" t="str">
        <f t="shared" si="16"/>
        <v/>
      </c>
      <c r="J37" s="33" t="str">
        <f t="shared" si="16"/>
        <v/>
      </c>
      <c r="K37" s="7">
        <f t="shared" ref="K37:K39" si="20">MIN(D37:J37)</f>
        <v>78</v>
      </c>
      <c r="L37" s="8">
        <v>0</v>
      </c>
    </row>
    <row r="38" spans="1:22" x14ac:dyDescent="0.25">
      <c r="A38" s="6">
        <v>2</v>
      </c>
      <c r="B38" s="7">
        <f t="shared" si="18"/>
        <v>2</v>
      </c>
      <c r="C38" s="8"/>
      <c r="D38" s="33">
        <f t="shared" si="19"/>
        <v>83</v>
      </c>
      <c r="E38" s="33">
        <f t="shared" si="16"/>
        <v>89</v>
      </c>
      <c r="F38" s="33">
        <f t="shared" si="16"/>
        <v>87</v>
      </c>
      <c r="G38" s="33">
        <f t="shared" si="16"/>
        <v>85</v>
      </c>
      <c r="H38" s="33">
        <f t="shared" si="16"/>
        <v>83</v>
      </c>
      <c r="I38" s="33">
        <f t="shared" si="16"/>
        <v>81</v>
      </c>
      <c r="J38" s="33" t="str">
        <f t="shared" si="16"/>
        <v/>
      </c>
      <c r="K38" s="7">
        <f t="shared" si="20"/>
        <v>81</v>
      </c>
      <c r="L38" s="8">
        <v>5</v>
      </c>
      <c r="N38" s="23" t="s">
        <v>53</v>
      </c>
      <c r="O38" s="24" t="s">
        <v>24</v>
      </c>
      <c r="P38" s="24" t="s">
        <v>26</v>
      </c>
      <c r="Q38" s="24" t="s">
        <v>27</v>
      </c>
      <c r="R38" s="26" t="s">
        <v>69</v>
      </c>
    </row>
    <row r="39" spans="1:22" x14ac:dyDescent="0.25">
      <c r="A39" s="9">
        <v>3</v>
      </c>
      <c r="B39" s="10">
        <f t="shared" si="18"/>
        <v>3</v>
      </c>
      <c r="C39" s="11"/>
      <c r="D39" s="31">
        <f t="shared" si="19"/>
        <v>88</v>
      </c>
      <c r="E39" s="31">
        <f t="shared" si="16"/>
        <v>94</v>
      </c>
      <c r="F39" s="31">
        <f t="shared" si="16"/>
        <v>91</v>
      </c>
      <c r="G39" s="31">
        <f t="shared" si="16"/>
        <v>89</v>
      </c>
      <c r="H39" s="31">
        <f t="shared" si="16"/>
        <v>87</v>
      </c>
      <c r="I39" s="31">
        <f t="shared" si="16"/>
        <v>85</v>
      </c>
      <c r="J39" s="31">
        <f t="shared" si="16"/>
        <v>83</v>
      </c>
      <c r="K39" s="10">
        <f t="shared" si="20"/>
        <v>83</v>
      </c>
      <c r="L39" s="11">
        <v>6</v>
      </c>
      <c r="N39" s="9">
        <v>83</v>
      </c>
      <c r="O39" s="10">
        <v>4</v>
      </c>
      <c r="P39" s="10">
        <v>2</v>
      </c>
      <c r="Q39" s="10">
        <v>6</v>
      </c>
      <c r="R39" s="11">
        <v>0</v>
      </c>
    </row>
  </sheetData>
  <mergeCells count="13">
    <mergeCell ref="F1:G1"/>
    <mergeCell ref="I1:M1"/>
    <mergeCell ref="C8:D8"/>
    <mergeCell ref="C20:D20"/>
    <mergeCell ref="P21:Q21"/>
    <mergeCell ref="U33:V34"/>
    <mergeCell ref="Q33:S33"/>
    <mergeCell ref="H21:J21"/>
    <mergeCell ref="M21:N22"/>
    <mergeCell ref="F33:H33"/>
    <mergeCell ref="K33:L34"/>
    <mergeCell ref="P23:Q23"/>
    <mergeCell ref="P25:Q2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Лист3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йцукенг</dc:creator>
  <cp:lastModifiedBy>Muzamil Mia</cp:lastModifiedBy>
  <dcterms:created xsi:type="dcterms:W3CDTF">2026-04-07T12:24:46Z</dcterms:created>
  <dcterms:modified xsi:type="dcterms:W3CDTF">2026-04-10T06:06:00Z</dcterms:modified>
  <cp:contentStatus/>
</cp:coreProperties>
</file>